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aalmario/Documents/Labo/Projets/2019_EC2Co_Orchamp/Primers_STR/Sym_genes_genoms/"/>
    </mc:Choice>
  </mc:AlternateContent>
  <xr:revisionPtr revIDLastSave="0" documentId="13_ncr:1_{BCAAEA8D-5C50-8344-83CB-2D8707BCCDEB}" xr6:coauthVersionLast="47" xr6:coauthVersionMax="47" xr10:uidLastSave="{00000000-0000-0000-0000-000000000000}"/>
  <bookViews>
    <workbookView xWindow="280" yWindow="500" windowWidth="37060" windowHeight="19480" activeTab="7" xr2:uid="{734AC043-4226-D44B-9647-B3F6A4ECF814}"/>
  </bookViews>
  <sheets>
    <sheet name="Os" sheetId="2" r:id="rId1"/>
    <sheet name="Mt" sheetId="8" r:id="rId2"/>
    <sheet name="species_fam_status" sheetId="11" r:id="rId3"/>
    <sheet name="genes_presence" sheetId="14" r:id="rId4"/>
    <sheet name="itol_sp_fam_colors" sheetId="17" r:id="rId5"/>
    <sheet name="CYCLOPS" sheetId="15" r:id="rId6"/>
    <sheet name="CCAMK" sheetId="21" r:id="rId7"/>
    <sheet name="CCAMK_itol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15" l="1"/>
  <c r="D2" i="17" l="1"/>
  <c r="L2" i="17" s="1"/>
  <c r="M2" i="15"/>
  <c r="M2" i="21"/>
  <c r="M73" i="21"/>
  <c r="M72" i="21"/>
  <c r="M71" i="21"/>
  <c r="M70" i="21"/>
  <c r="M69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44" i="21"/>
  <c r="M43" i="21"/>
  <c r="M42" i="21"/>
  <c r="M41" i="21"/>
  <c r="M40" i="21"/>
  <c r="M39" i="21"/>
  <c r="M38" i="21"/>
  <c r="M37" i="21"/>
  <c r="M36" i="21"/>
  <c r="M35" i="21"/>
  <c r="M34" i="21"/>
  <c r="M33" i="21"/>
  <c r="M32" i="21"/>
  <c r="M31" i="21"/>
  <c r="M30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M5" i="21"/>
  <c r="M4" i="21"/>
  <c r="M3" i="21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8" i="15"/>
  <c r="M79" i="15"/>
  <c r="M80" i="15"/>
  <c r="M81" i="15"/>
  <c r="M82" i="15"/>
  <c r="M83" i="15"/>
  <c r="M84" i="15"/>
  <c r="M85" i="15"/>
  <c r="M86" i="15"/>
  <c r="D3" i="17"/>
  <c r="L3" i="17" s="1"/>
  <c r="D15" i="17"/>
  <c r="L15" i="17" s="1"/>
  <c r="D4" i="17"/>
  <c r="L4" i="17" s="1"/>
  <c r="D5" i="17"/>
  <c r="L5" i="17" s="1"/>
  <c r="D6" i="17"/>
  <c r="L6" i="17" s="1"/>
  <c r="D7" i="17"/>
  <c r="L7" i="17" s="1"/>
  <c r="D8" i="17"/>
  <c r="L8" i="17" s="1"/>
  <c r="D9" i="17"/>
  <c r="L9" i="17" s="1"/>
  <c r="D10" i="17"/>
  <c r="L10" i="17" s="1"/>
  <c r="D11" i="17"/>
  <c r="L11" i="17" s="1"/>
  <c r="D12" i="17"/>
  <c r="L12" i="17" s="1"/>
  <c r="D13" i="17"/>
  <c r="L13" i="17" s="1"/>
  <c r="D14" i="17"/>
  <c r="L14" i="17" s="1"/>
  <c r="D16" i="17"/>
  <c r="L16" i="17" s="1"/>
  <c r="D17" i="17"/>
  <c r="L17" i="17" s="1"/>
  <c r="D18" i="17"/>
  <c r="L18" i="17" s="1"/>
  <c r="D19" i="17"/>
  <c r="L19" i="17" s="1"/>
  <c r="D20" i="17"/>
  <c r="L20" i="17" s="1"/>
  <c r="D21" i="17"/>
  <c r="L21" i="17" s="1"/>
  <c r="D22" i="17"/>
  <c r="L22" i="17" s="1"/>
  <c r="D23" i="17"/>
  <c r="L23" i="17" s="1"/>
  <c r="D24" i="17"/>
  <c r="L24" i="17" s="1"/>
  <c r="D25" i="17"/>
  <c r="L25" i="17" s="1"/>
  <c r="D26" i="17"/>
  <c r="L26" i="17" s="1"/>
  <c r="D27" i="17"/>
  <c r="L27" i="17" s="1"/>
  <c r="D28" i="17"/>
  <c r="L28" i="17" s="1"/>
  <c r="D29" i="17"/>
  <c r="L29" i="17" s="1"/>
  <c r="D30" i="17"/>
  <c r="L30" i="17" s="1"/>
  <c r="D31" i="17"/>
  <c r="L31" i="17" s="1"/>
  <c r="D32" i="17"/>
  <c r="L32" i="17" s="1"/>
  <c r="D33" i="17"/>
  <c r="L33" i="17" s="1"/>
  <c r="D34" i="17"/>
  <c r="L34" i="17" s="1"/>
  <c r="D35" i="17"/>
  <c r="L35" i="17" s="1"/>
  <c r="D36" i="17"/>
  <c r="L36" i="17" s="1"/>
  <c r="D37" i="17"/>
  <c r="L37" i="17" s="1"/>
  <c r="D38" i="17"/>
  <c r="L38" i="17" s="1"/>
  <c r="D39" i="17"/>
  <c r="L39" i="17" s="1"/>
  <c r="D40" i="17"/>
  <c r="L40" i="17" s="1"/>
  <c r="D41" i="17"/>
  <c r="L41" i="17" s="1"/>
  <c r="D42" i="17"/>
  <c r="L42" i="17" s="1"/>
  <c r="D43" i="17"/>
  <c r="L43" i="17" s="1"/>
  <c r="D44" i="17"/>
  <c r="L44" i="17" s="1"/>
  <c r="D45" i="17"/>
  <c r="L45" i="17" s="1"/>
  <c r="D46" i="17"/>
  <c r="L46" i="17" s="1"/>
  <c r="D47" i="17"/>
  <c r="L47" i="17" s="1"/>
  <c r="D48" i="17"/>
  <c r="L48" i="17" s="1"/>
  <c r="D49" i="17"/>
  <c r="L49" i="17" s="1"/>
  <c r="D50" i="17"/>
  <c r="L50" i="17" s="1"/>
  <c r="D51" i="17"/>
  <c r="L51" i="17" s="1"/>
  <c r="D52" i="17"/>
  <c r="L52" i="17" s="1"/>
  <c r="D53" i="17"/>
  <c r="L53" i="17" s="1"/>
  <c r="D54" i="17"/>
  <c r="L54" i="17" s="1"/>
  <c r="D55" i="17"/>
  <c r="L55" i="17" s="1"/>
  <c r="D56" i="17"/>
  <c r="L56" i="17" s="1"/>
  <c r="D57" i="17"/>
  <c r="L57" i="17" s="1"/>
  <c r="D58" i="17"/>
  <c r="L58" i="17" s="1"/>
  <c r="D59" i="17"/>
  <c r="L59" i="17" s="1"/>
  <c r="D60" i="17"/>
  <c r="L60" i="17" s="1"/>
  <c r="D61" i="17"/>
  <c r="L61" i="17" s="1"/>
  <c r="D62" i="17"/>
  <c r="L62" i="17" s="1"/>
  <c r="D63" i="17"/>
  <c r="L63" i="17" s="1"/>
  <c r="D64" i="17"/>
  <c r="L64" i="17" s="1"/>
  <c r="D65" i="17"/>
  <c r="L65" i="17" s="1"/>
  <c r="D66" i="17"/>
  <c r="L66" i="17" s="1"/>
  <c r="D67" i="17"/>
  <c r="L67" i="17" s="1"/>
  <c r="D68" i="17"/>
  <c r="L68" i="17" s="1"/>
  <c r="D69" i="17"/>
  <c r="L69" i="17" s="1"/>
  <c r="D70" i="17"/>
  <c r="L70" i="17" s="1"/>
  <c r="H72" i="8"/>
  <c r="H73" i="8"/>
  <c r="H74" i="8"/>
  <c r="H75" i="8"/>
  <c r="H76" i="8"/>
  <c r="H77" i="8"/>
  <c r="F77" i="8" s="1"/>
  <c r="H78" i="8"/>
  <c r="F78" i="8" s="1"/>
  <c r="H79" i="8"/>
  <c r="F79" i="8" s="1"/>
  <c r="F72" i="8"/>
  <c r="F73" i="8"/>
  <c r="F74" i="8"/>
  <c r="F75" i="8"/>
  <c r="F76" i="8"/>
  <c r="E79" i="8"/>
  <c r="E78" i="8"/>
  <c r="E77" i="8"/>
  <c r="E76" i="8"/>
  <c r="E75" i="8"/>
  <c r="E74" i="8"/>
  <c r="E73" i="8"/>
  <c r="E72" i="8"/>
  <c r="L71" i="2"/>
  <c r="M71" i="2"/>
  <c r="L72" i="2"/>
  <c r="M72" i="2" s="1"/>
  <c r="L73" i="2"/>
  <c r="M73" i="2" s="1"/>
  <c r="L74" i="2"/>
  <c r="M74" i="2"/>
  <c r="L75" i="2"/>
  <c r="M75" i="2"/>
  <c r="L76" i="2"/>
  <c r="M76" i="2" s="1"/>
  <c r="L77" i="2"/>
  <c r="M77" i="2" s="1"/>
  <c r="L78" i="2"/>
  <c r="M78" i="2"/>
  <c r="H71" i="2"/>
  <c r="H72" i="2"/>
  <c r="H73" i="2"/>
  <c r="H74" i="2"/>
  <c r="H75" i="2"/>
  <c r="F75" i="2" s="1"/>
  <c r="H76" i="2"/>
  <c r="F76" i="2" s="1"/>
  <c r="H77" i="2"/>
  <c r="F77" i="2" s="1"/>
  <c r="H78" i="2"/>
  <c r="F78" i="2" s="1"/>
  <c r="F71" i="2"/>
  <c r="F72" i="2"/>
  <c r="F73" i="2"/>
  <c r="F74" i="2"/>
  <c r="E71" i="2"/>
  <c r="E72" i="2"/>
  <c r="E73" i="2"/>
  <c r="E74" i="2"/>
  <c r="E75" i="2"/>
  <c r="E76" i="2"/>
  <c r="E77" i="2"/>
  <c r="E78" i="2"/>
  <c r="H53" i="8"/>
  <c r="H54" i="8"/>
  <c r="H55" i="8"/>
  <c r="H56" i="8"/>
  <c r="H57" i="8"/>
  <c r="H58" i="8"/>
  <c r="H59" i="8"/>
  <c r="H60" i="8"/>
  <c r="F60" i="8" s="1"/>
  <c r="H61" i="8"/>
  <c r="H62" i="8"/>
  <c r="H63" i="8"/>
  <c r="H64" i="8"/>
  <c r="H65" i="8"/>
  <c r="H66" i="8"/>
  <c r="F66" i="8" s="1"/>
  <c r="H67" i="8"/>
  <c r="H68" i="8"/>
  <c r="F68" i="8" s="1"/>
  <c r="H69" i="8"/>
  <c r="H70" i="8"/>
  <c r="H71" i="8"/>
  <c r="F53" i="8"/>
  <c r="F55" i="8"/>
  <c r="F59" i="8"/>
  <c r="F64" i="8"/>
  <c r="F69" i="8"/>
  <c r="F70" i="8"/>
  <c r="E53" i="8"/>
  <c r="E54" i="8"/>
  <c r="F54" i="8" s="1"/>
  <c r="E55" i="8"/>
  <c r="E56" i="8"/>
  <c r="E57" i="8"/>
  <c r="F57" i="8" s="1"/>
  <c r="E58" i="8"/>
  <c r="E59" i="8"/>
  <c r="E60" i="8"/>
  <c r="E61" i="8"/>
  <c r="F61" i="8" s="1"/>
  <c r="E62" i="8"/>
  <c r="F62" i="8" s="1"/>
  <c r="E63" i="8"/>
  <c r="F63" i="8" s="1"/>
  <c r="E64" i="8"/>
  <c r="E65" i="8"/>
  <c r="F65" i="8" s="1"/>
  <c r="E66" i="8"/>
  <c r="E67" i="8"/>
  <c r="F67" i="8" s="1"/>
  <c r="E68" i="8"/>
  <c r="E69" i="8"/>
  <c r="E70" i="8"/>
  <c r="E71" i="8"/>
  <c r="F71" i="8" s="1"/>
  <c r="E49" i="8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/>
  <c r="L69" i="2"/>
  <c r="M69" i="2" s="1"/>
  <c r="L70" i="2"/>
  <c r="M70" i="2" s="1"/>
  <c r="H68" i="2"/>
  <c r="H69" i="2"/>
  <c r="H70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E69" i="2"/>
  <c r="F69" i="2" s="1"/>
  <c r="E70" i="2"/>
  <c r="F70" i="2" s="1"/>
  <c r="F6" i="8"/>
  <c r="L51" i="2"/>
  <c r="M51" i="2" s="1"/>
  <c r="H51" i="2"/>
  <c r="E51" i="2"/>
  <c r="L50" i="2"/>
  <c r="M50" i="2" s="1"/>
  <c r="H50" i="2"/>
  <c r="E50" i="2"/>
  <c r="L49" i="2"/>
  <c r="M49" i="2" s="1"/>
  <c r="H49" i="2"/>
  <c r="E49" i="2"/>
  <c r="L48" i="2"/>
  <c r="M48" i="2" s="1"/>
  <c r="H48" i="2"/>
  <c r="E48" i="2"/>
  <c r="L47" i="2"/>
  <c r="M47" i="2" s="1"/>
  <c r="H47" i="2"/>
  <c r="E47" i="2"/>
  <c r="L46" i="2"/>
  <c r="M46" i="2" s="1"/>
  <c r="H46" i="2"/>
  <c r="E46" i="2"/>
  <c r="L45" i="2"/>
  <c r="M45" i="2" s="1"/>
  <c r="H45" i="2"/>
  <c r="E45" i="2"/>
  <c r="L44" i="2"/>
  <c r="M44" i="2" s="1"/>
  <c r="H44" i="2"/>
  <c r="E44" i="2"/>
  <c r="L43" i="2"/>
  <c r="M43" i="2" s="1"/>
  <c r="H43" i="2"/>
  <c r="E43" i="2"/>
  <c r="L42" i="2"/>
  <c r="M42" i="2" s="1"/>
  <c r="H42" i="2"/>
  <c r="E42" i="2"/>
  <c r="L41" i="2"/>
  <c r="M41" i="2" s="1"/>
  <c r="H41" i="2"/>
  <c r="E41" i="2"/>
  <c r="L40" i="2"/>
  <c r="M40" i="2" s="1"/>
  <c r="H40" i="2"/>
  <c r="E40" i="2"/>
  <c r="L39" i="2"/>
  <c r="M39" i="2" s="1"/>
  <c r="H39" i="2"/>
  <c r="E39" i="2"/>
  <c r="L38" i="2"/>
  <c r="M38" i="2" s="1"/>
  <c r="H38" i="2"/>
  <c r="E38" i="2"/>
  <c r="L37" i="2"/>
  <c r="M37" i="2" s="1"/>
  <c r="H37" i="2"/>
  <c r="E37" i="2"/>
  <c r="L36" i="2"/>
  <c r="M36" i="2" s="1"/>
  <c r="H36" i="2"/>
  <c r="E36" i="2"/>
  <c r="L35" i="2"/>
  <c r="M35" i="2" s="1"/>
  <c r="H35" i="2"/>
  <c r="E35" i="2"/>
  <c r="L34" i="2"/>
  <c r="M34" i="2" s="1"/>
  <c r="H34" i="2"/>
  <c r="E34" i="2"/>
  <c r="L33" i="2"/>
  <c r="M33" i="2" s="1"/>
  <c r="H33" i="2"/>
  <c r="E33" i="2"/>
  <c r="L32" i="2"/>
  <c r="M32" i="2" s="1"/>
  <c r="H32" i="2"/>
  <c r="E32" i="2"/>
  <c r="L31" i="2"/>
  <c r="M31" i="2" s="1"/>
  <c r="H31" i="2"/>
  <c r="E31" i="2"/>
  <c r="L30" i="2"/>
  <c r="M30" i="2" s="1"/>
  <c r="H30" i="2"/>
  <c r="E30" i="2"/>
  <c r="L29" i="2"/>
  <c r="M29" i="2" s="1"/>
  <c r="H29" i="2"/>
  <c r="E29" i="2"/>
  <c r="L28" i="2"/>
  <c r="M28" i="2" s="1"/>
  <c r="H28" i="2"/>
  <c r="E28" i="2"/>
  <c r="H13" i="8"/>
  <c r="H52" i="8"/>
  <c r="E52" i="8"/>
  <c r="H51" i="8"/>
  <c r="E51" i="8"/>
  <c r="H50" i="8"/>
  <c r="E50" i="8"/>
  <c r="H49" i="8"/>
  <c r="H48" i="8"/>
  <c r="E48" i="8"/>
  <c r="H47" i="8"/>
  <c r="E47" i="8"/>
  <c r="H46" i="8"/>
  <c r="E46" i="8"/>
  <c r="H45" i="8"/>
  <c r="E45" i="8"/>
  <c r="H44" i="8"/>
  <c r="E44" i="8"/>
  <c r="H43" i="8"/>
  <c r="E43" i="8"/>
  <c r="H42" i="8"/>
  <c r="E42" i="8"/>
  <c r="H41" i="8"/>
  <c r="E41" i="8"/>
  <c r="H40" i="8"/>
  <c r="E40" i="8"/>
  <c r="H39" i="8"/>
  <c r="E39" i="8"/>
  <c r="H38" i="8"/>
  <c r="E38" i="8"/>
  <c r="H37" i="8"/>
  <c r="E37" i="8"/>
  <c r="H33" i="8"/>
  <c r="H34" i="8"/>
  <c r="H35" i="8"/>
  <c r="H36" i="8"/>
  <c r="E33" i="8"/>
  <c r="E34" i="8"/>
  <c r="E35" i="8"/>
  <c r="E36" i="8"/>
  <c r="E32" i="8"/>
  <c r="F7" i="8"/>
  <c r="F8" i="8"/>
  <c r="F3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H29" i="8"/>
  <c r="H30" i="8"/>
  <c r="H31" i="8"/>
  <c r="H32" i="8"/>
  <c r="H14" i="8"/>
  <c r="H15" i="8"/>
  <c r="H16" i="8"/>
  <c r="H17" i="8"/>
  <c r="F4" i="8"/>
  <c r="F5" i="8"/>
  <c r="E4" i="8"/>
  <c r="E5" i="8"/>
  <c r="E6" i="8"/>
  <c r="E7" i="8"/>
  <c r="E8" i="8"/>
  <c r="E3" i="8"/>
  <c r="H28" i="8"/>
  <c r="H27" i="8"/>
  <c r="H26" i="8"/>
  <c r="H25" i="8"/>
  <c r="H24" i="8"/>
  <c r="H23" i="8"/>
  <c r="H22" i="8"/>
  <c r="H21" i="8"/>
  <c r="H20" i="8"/>
  <c r="H19" i="8"/>
  <c r="H18" i="8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12" i="2"/>
  <c r="M12" i="2" s="1"/>
  <c r="H25" i="2"/>
  <c r="H26" i="2"/>
  <c r="H27" i="2"/>
  <c r="E25" i="2"/>
  <c r="E26" i="2"/>
  <c r="E27" i="2"/>
  <c r="E24" i="2"/>
  <c r="H13" i="2"/>
  <c r="H14" i="2"/>
  <c r="H15" i="2"/>
  <c r="H16" i="2"/>
  <c r="H17" i="2"/>
  <c r="H18" i="2"/>
  <c r="H19" i="2"/>
  <c r="H20" i="2"/>
  <c r="H21" i="2"/>
  <c r="H22" i="2"/>
  <c r="H23" i="2"/>
  <c r="H24" i="2"/>
  <c r="H12" i="2"/>
  <c r="E13" i="2"/>
  <c r="E14" i="2"/>
  <c r="E15" i="2"/>
  <c r="E16" i="2"/>
  <c r="E17" i="2"/>
  <c r="E18" i="2"/>
  <c r="E19" i="2"/>
  <c r="E20" i="2"/>
  <c r="E21" i="2"/>
  <c r="E22" i="2"/>
  <c r="E23" i="2"/>
  <c r="E12" i="2"/>
  <c r="F58" i="8" l="1"/>
  <c r="F44" i="8"/>
  <c r="F56" i="8"/>
  <c r="F50" i="8"/>
  <c r="F42" i="8"/>
  <c r="F68" i="2"/>
  <c r="F40" i="2"/>
  <c r="F42" i="2"/>
  <c r="F12" i="2"/>
  <c r="F52" i="8"/>
  <c r="F40" i="8"/>
  <c r="F48" i="8"/>
  <c r="F46" i="8"/>
  <c r="F49" i="8"/>
  <c r="F37" i="8"/>
  <c r="F51" i="8"/>
  <c r="F45" i="8"/>
  <c r="F38" i="8"/>
  <c r="F39" i="8"/>
  <c r="F35" i="2"/>
  <c r="F30" i="2"/>
  <c r="F33" i="2"/>
  <c r="F36" i="2"/>
  <c r="F44" i="2"/>
  <c r="F34" i="2"/>
  <c r="F37" i="2"/>
  <c r="F46" i="2"/>
  <c r="F48" i="2"/>
  <c r="F28" i="2"/>
  <c r="F25" i="2"/>
  <c r="F50" i="2"/>
  <c r="F41" i="8"/>
  <c r="F47" i="8"/>
  <c r="F41" i="2"/>
  <c r="F31" i="2"/>
  <c r="F47" i="2"/>
  <c r="F29" i="2"/>
  <c r="F38" i="2"/>
  <c r="F43" i="2"/>
  <c r="F45" i="2"/>
  <c r="F51" i="2"/>
  <c r="F32" i="2"/>
  <c r="F26" i="2"/>
  <c r="F39" i="2"/>
  <c r="F49" i="2"/>
  <c r="F33" i="8"/>
  <c r="F35" i="8"/>
  <c r="F34" i="8"/>
  <c r="F43" i="8"/>
  <c r="F23" i="8"/>
  <c r="F17" i="8"/>
  <c r="F21" i="8"/>
  <c r="F29" i="8"/>
  <c r="F36" i="8"/>
  <c r="F15" i="8"/>
  <c r="F13" i="8"/>
  <c r="F24" i="8"/>
  <c r="F32" i="8"/>
  <c r="F18" i="8"/>
  <c r="F26" i="8"/>
  <c r="F31" i="8"/>
  <c r="F27" i="8"/>
  <c r="F19" i="8"/>
  <c r="F25" i="8"/>
  <c r="F16" i="8"/>
  <c r="F30" i="8"/>
  <c r="F22" i="8"/>
  <c r="F14" i="8"/>
  <c r="F28" i="8"/>
  <c r="F20" i="8"/>
  <c r="F27" i="2"/>
  <c r="F20" i="2"/>
  <c r="F18" i="2"/>
  <c r="F21" i="2"/>
  <c r="F19" i="2"/>
  <c r="F16" i="2"/>
  <c r="F17" i="2"/>
  <c r="F24" i="2"/>
  <c r="F23" i="2"/>
  <c r="F15" i="2"/>
  <c r="F22" i="2"/>
  <c r="F14" i="2"/>
  <c r="F13" i="2"/>
</calcChain>
</file>

<file path=xl/sharedStrings.xml><?xml version="1.0" encoding="utf-8"?>
<sst xmlns="http://schemas.openxmlformats.org/spreadsheetml/2006/main" count="3583" uniqueCount="558">
  <si>
    <t>ASM154086v1</t>
  </si>
  <si>
    <t>GCF_001540865.1</t>
  </si>
  <si>
    <t>GCA_028015225.1</t>
  </si>
  <si>
    <t>CAF_CaMyos_1.0</t>
  </si>
  <si>
    <t>GCA_019914945.1</t>
  </si>
  <si>
    <t>TyphaL0001</t>
  </si>
  <si>
    <t>GCA_011114355.1</t>
  </si>
  <si>
    <t>ASM1111435v1</t>
  </si>
  <si>
    <t>GCA_031770325.1</t>
  </si>
  <si>
    <t>CAF_BolPas_1.0</t>
  </si>
  <si>
    <t>GCA_027725995.1</t>
  </si>
  <si>
    <t>MPIPZ_rhyTen1m_1</t>
  </si>
  <si>
    <t>GCA_028095005.1</t>
  </si>
  <si>
    <t>MPIPZ_rhyPub2m_2.0</t>
  </si>
  <si>
    <t>GCA_027562975.1</t>
  </si>
  <si>
    <t>MPIPZ_rhyBre1m_1.0</t>
  </si>
  <si>
    <t>GCA_030179965.1</t>
  </si>
  <si>
    <t>Ces_v0.1</t>
  </si>
  <si>
    <t>GCA_025461125.1</t>
  </si>
  <si>
    <t>ASM2546112v1</t>
  </si>
  <si>
    <t>GCA_024447775.1</t>
  </si>
  <si>
    <t>MSU_CaCris_1.0</t>
  </si>
  <si>
    <t>GCA_024447655.1</t>
  </si>
  <si>
    <t>MSU_CaScop_1.0</t>
  </si>
  <si>
    <t>GCA_025461045.1</t>
  </si>
  <si>
    <t>ASM2546104v1</t>
  </si>
  <si>
    <t>str2</t>
  </si>
  <si>
    <t>ID</t>
  </si>
  <si>
    <t>transcript_id</t>
  </si>
  <si>
    <t>symrk</t>
  </si>
  <si>
    <t>ccamk</t>
  </si>
  <si>
    <t>cyclops</t>
  </si>
  <si>
    <t>GeMoMa GeMoMaPipeline threads=12 GeMoMa.Score=ReAlign AnnotationFinalizer.r=NO o=true t=~/genomes/ncbi_dataset/data/</t>
  </si>
  <si>
    <t>Ananas_comosus</t>
  </si>
  <si>
    <t>Carex_myosuroides</t>
  </si>
  <si>
    <t>Typha_latifolia</t>
  </si>
  <si>
    <t>Carex_littledalei</t>
  </si>
  <si>
    <t>Bolboschoenus_planiculmis</t>
  </si>
  <si>
    <t>Rhynchospora_tenuis</t>
  </si>
  <si>
    <t>Rhynchospora_pubera</t>
  </si>
  <si>
    <t>Rhynchospora_breviuscula</t>
  </si>
  <si>
    <t>Cyperus_esculentus</t>
  </si>
  <si>
    <t>Carex_kokanica</t>
  </si>
  <si>
    <t>Carex_cristatella</t>
  </si>
  <si>
    <t>Carex_scoparia</t>
  </si>
  <si>
    <t>Carex_parvula</t>
  </si>
  <si>
    <t>STR2</t>
  </si>
  <si>
    <t>STR1</t>
  </si>
  <si>
    <t>SYMRK</t>
  </si>
  <si>
    <t>CCAMK</t>
  </si>
  <si>
    <t>CYCLOPS</t>
  </si>
  <si>
    <t>Ref genes in ref genome</t>
  </si>
  <si>
    <t>Bromeliaceae</t>
  </si>
  <si>
    <t>Typhaceae</t>
  </si>
  <si>
    <t>Cyperaceae</t>
  </si>
  <si>
    <t>Poaceae</t>
  </si>
  <si>
    <t>Fabaceae</t>
  </si>
  <si>
    <t>lpLuzSylv1.1</t>
  </si>
  <si>
    <t>GCA_027726005.1</t>
  </si>
  <si>
    <t>MPIPZ_junEff1m_1</t>
  </si>
  <si>
    <t>GCA_946800325.1</t>
  </si>
  <si>
    <t>GCA_024447665.1</t>
  </si>
  <si>
    <t>MSU_JuInfl_1.0</t>
  </si>
  <si>
    <t>Juncus_effusus</t>
  </si>
  <si>
    <t>Luzula_sylvatica</t>
  </si>
  <si>
    <t>Juncus_inflexus</t>
  </si>
  <si>
    <t xml:space="preserve">datasets download genome accession </t>
  </si>
  <si>
    <t>Command GeMoMa</t>
  </si>
  <si>
    <t>command download</t>
  </si>
  <si>
    <t xml:space="preserve"> --include gff3,rna,cds,protein,genome,seq-report --filename </t>
  </si>
  <si>
    <t>Data download and gemoma</t>
  </si>
  <si>
    <t>comosus</t>
  </si>
  <si>
    <t>myosuroides</t>
  </si>
  <si>
    <t>latifolia</t>
  </si>
  <si>
    <t>sativa</t>
  </si>
  <si>
    <t>Triticum</t>
  </si>
  <si>
    <t>aestivum</t>
  </si>
  <si>
    <t>Ananas</t>
  </si>
  <si>
    <t>Carex</t>
  </si>
  <si>
    <t>Typha</t>
  </si>
  <si>
    <t>Bolboschoenus</t>
  </si>
  <si>
    <t>Rhynchospora</t>
  </si>
  <si>
    <t>Cyperus</t>
  </si>
  <si>
    <t>Juncus</t>
  </si>
  <si>
    <t>Luzula</t>
  </si>
  <si>
    <t>Species</t>
  </si>
  <si>
    <t>Family</t>
  </si>
  <si>
    <t>Juncaceae</t>
  </si>
  <si>
    <t>Hex color</t>
  </si>
  <si>
    <t>fam</t>
  </si>
  <si>
    <t>https://www.ncbi.nlm.nih.gov/gene/11407838</t>
  </si>
  <si>
    <t>XM_003612901.4</t>
  </si>
  <si>
    <t>https://www.ncbi.nlm.nih.gov/gene/?term=symrk+medicago</t>
  </si>
  <si>
    <t>XM_003612902.4</t>
  </si>
  <si>
    <t>XM_003612903.4</t>
  </si>
  <si>
    <t>https://www.ncbi.nlm.nih.gov/gene/11405240</t>
  </si>
  <si>
    <t>NM_001376225.1</t>
  </si>
  <si>
    <t>https://www.ncbi.nlm.nih.gov/gene/11408651</t>
  </si>
  <si>
    <t>Ft1.0</t>
  </si>
  <si>
    <t>ASM2309106v1</t>
  </si>
  <si>
    <t>ASM2621246v1</t>
  </si>
  <si>
    <t>ASM2925568v2</t>
  </si>
  <si>
    <t>dcAgrGith1.1</t>
  </si>
  <si>
    <t>dcPolAvic1.1</t>
  </si>
  <si>
    <t>dcSpeBocc1.1</t>
  </si>
  <si>
    <t>ASM168347v1</t>
  </si>
  <si>
    <t>ASM141213v1</t>
  </si>
  <si>
    <t>ASM2999057v1</t>
  </si>
  <si>
    <t>ASM3227480v1</t>
  </si>
  <si>
    <t>ASM980101v1</t>
  </si>
  <si>
    <t>ASM192500v1</t>
  </si>
  <si>
    <t>ASM1898310v1</t>
  </si>
  <si>
    <t>ASM2208547v1</t>
  </si>
  <si>
    <t>ASM2856621v1</t>
  </si>
  <si>
    <t>ASM200726v1</t>
  </si>
  <si>
    <t>GCA_002319775.1</t>
  </si>
  <si>
    <t>GCA_023091065.1</t>
  </si>
  <si>
    <t>GCF_026212465.1</t>
  </si>
  <si>
    <t>GCA_029255685.2</t>
  </si>
  <si>
    <t>GCA_958450325.1</t>
  </si>
  <si>
    <t>GCA_934048045.1</t>
  </si>
  <si>
    <t>GCA_963457585.1</t>
  </si>
  <si>
    <t>GCF_001683475.1</t>
  </si>
  <si>
    <t>GCA_001412135.1</t>
  </si>
  <si>
    <t>GCA_029990575.1</t>
  </si>
  <si>
    <t>GCA_029990175.1</t>
  </si>
  <si>
    <t>Psec_v2_Bern</t>
  </si>
  <si>
    <t>GCA_032274805.1</t>
  </si>
  <si>
    <t>GCA_009801015.1</t>
  </si>
  <si>
    <t>GCA_001925005.1</t>
  </si>
  <si>
    <t>GCA_018983105.1</t>
  </si>
  <si>
    <t>GCA_029747015.1</t>
  </si>
  <si>
    <t>UA_SGP5p_2</t>
  </si>
  <si>
    <t>GCA_022085475.1</t>
  </si>
  <si>
    <t>GCA_028566215.1</t>
  </si>
  <si>
    <t>EL10_1.0</t>
  </si>
  <si>
    <t>GCF_002917755.1</t>
  </si>
  <si>
    <t>GCF_002007265.1</t>
  </si>
  <si>
    <t>Fagopyrum_tataricum</t>
  </si>
  <si>
    <t>Dianthus_caryophyllus</t>
  </si>
  <si>
    <t>Amaranthus_tricolor</t>
  </si>
  <si>
    <t>Silene_conica</t>
  </si>
  <si>
    <t>Agrostemma_githago</t>
  </si>
  <si>
    <t>Polygonum_aviculare</t>
  </si>
  <si>
    <t>Spergularia_bocconei</t>
  </si>
  <si>
    <t>Chenopodium_quinoa</t>
  </si>
  <si>
    <t>Silene_latifolia_subsp._alba</t>
  </si>
  <si>
    <t>Petunia_axillaris_subsp._axillaris</t>
  </si>
  <si>
    <t>Petunia_secreta</t>
  </si>
  <si>
    <t>Gypsophila_paniculata</t>
  </si>
  <si>
    <t>Silene_noctiflora</t>
  </si>
  <si>
    <t>Drosera_capensis</t>
  </si>
  <si>
    <t>Silene_uniflora</t>
  </si>
  <si>
    <t>Carnegiea_gigantea</t>
  </si>
  <si>
    <t>Heliosperma_pusillum</t>
  </si>
  <si>
    <t>Silene_coronaria</t>
  </si>
  <si>
    <t>Beta_vulgaris_subsp._vulgaris</t>
  </si>
  <si>
    <t>Spinacia_oleracea</t>
  </si>
  <si>
    <t>gene-CCAMK</t>
  </si>
  <si>
    <t>gene-IPD3</t>
  </si>
  <si>
    <t>gene-LOC11407838</t>
  </si>
  <si>
    <t>gene-LOC11407326</t>
  </si>
  <si>
    <t>NM_001389474.1</t>
  </si>
  <si>
    <t>XM_003612556.4</t>
  </si>
  <si>
    <t>GCA_026545225.1</t>
  </si>
  <si>
    <t>ASM2654522v1</t>
  </si>
  <si>
    <t>GCA_008638375.1</t>
  </si>
  <si>
    <t>ASM863837v1</t>
  </si>
  <si>
    <t>GCA_013391885.1</t>
  </si>
  <si>
    <t>HMA_r1.2_0</t>
  </si>
  <si>
    <t>ASM3098733v1</t>
  </si>
  <si>
    <t>GCF_030987335.1</t>
  </si>
  <si>
    <t>Cornus_controversa</t>
  </si>
  <si>
    <t>Nyssa_sinensis</t>
  </si>
  <si>
    <t>Hydrangea_macrophylla</t>
  </si>
  <si>
    <t>Cornus_florida</t>
  </si>
  <si>
    <t>outdir=~/gemoma/Os_</t>
  </si>
  <si>
    <t>outdir=~/gemoma/Mt_</t>
  </si>
  <si>
    <t>https://rapdb.dna.affrc.go.jp/locus/?name=Os07g0568100</t>
  </si>
  <si>
    <t>https://rapdb.dna.affrc.go.jp/locus/?name=Os05g0489900</t>
  </si>
  <si>
    <t>https://rapdb.dna.affrc.go.jp/locus/?name=Os07g0191600</t>
  </si>
  <si>
    <t>https://rapdb.dna.affrc.go.jp/locus/?name=Os06g0115600</t>
  </si>
  <si>
    <t>Os07t0568100-01</t>
  </si>
  <si>
    <t>Locus</t>
  </si>
  <si>
    <t>Os07t0568100</t>
  </si>
  <si>
    <t>Os05g0489900</t>
  </si>
  <si>
    <t>Os05t0489900-01</t>
  </si>
  <si>
    <t>Os06g0115600</t>
  </si>
  <si>
    <t>Os06t0115600-01</t>
  </si>
  <si>
    <t>Os07t0191600-04</t>
  </si>
  <si>
    <t>Os07g0191600</t>
  </si>
  <si>
    <t>Name</t>
  </si>
  <si>
    <t>selected=~/gemoma/Os_selected a=~/genomes/ncbi_dataset/data/Os_IRGSP-1.0_genome/IRGSP-1.0_representative/transcripts.gff g=~/genomes/ncbi_dataset/data/Os_IRGSP-1.0_genome/IRGSP-1.0_genome.fasta GAF.f="start=='M' and (isNaN(score) or score/aa&gt;=0.75)"</t>
  </si>
  <si>
    <t>selected=~/gemoma/Mt_selected a=~/genomes/ncbi_dataset/data/GCF_003473485.1/genomic.gff g=~/genomes/ncbi_dataset/data/GCF_003473485.1/GCF_003473485.1_MtrunA17r5.0-ANR_genomic.fna GAF.f="start=='M' and (isNaN(score) or score/aa&gt;=0.75)"</t>
  </si>
  <si>
    <t>GCA_015680905.1</t>
  </si>
  <si>
    <t>ASM1568090v1</t>
  </si>
  <si>
    <t>GCA_002738505.1</t>
  </si>
  <si>
    <t>Aquilegia_coerulea_v1</t>
  </si>
  <si>
    <t>GCA_013358455.1</t>
  </si>
  <si>
    <t>MaSuRCA_all.p2</t>
  </si>
  <si>
    <t>GCA_028566255.1</t>
  </si>
  <si>
    <t>ASM2856625v1</t>
  </si>
  <si>
    <t>GCA_900128785.1</t>
  </si>
  <si>
    <t>MPIPZ.v5</t>
  </si>
  <si>
    <t>GCA_963576765.1</t>
  </si>
  <si>
    <t>ddDraInca1.1</t>
  </si>
  <si>
    <t>GCA_001974645.1</t>
  </si>
  <si>
    <t>C_bursa_pastoris_nuclear_genome_v1</t>
  </si>
  <si>
    <t>GCA_020283515.1</t>
  </si>
  <si>
    <t>Apet_EFCC3-3-20v4</t>
  </si>
  <si>
    <t>GCA_014578085.1</t>
  </si>
  <si>
    <t>Cresedifolia_CH_v1</t>
  </si>
  <si>
    <t>GCA_900406315.1</t>
  </si>
  <si>
    <t>Biscutella longifolia</t>
  </si>
  <si>
    <t>GCA_900406495.1</t>
  </si>
  <si>
    <t>ASM90040649v1</t>
  </si>
  <si>
    <t>GCA_916181665.1</t>
  </si>
  <si>
    <t>Oat OT3098 v2</t>
  </si>
  <si>
    <t>IWGSC CS RefSeq v2.1</t>
  </si>
  <si>
    <t>GCF_018294505.1</t>
  </si>
  <si>
    <t>MorexV3_pseudomolecules_assembly</t>
  </si>
  <si>
    <t>GCF_904849725.1</t>
  </si>
  <si>
    <t>MPB_Lper_Kyuss_1697</t>
  </si>
  <si>
    <t>GCF_019359855.1</t>
  </si>
  <si>
    <t>GCA_028641055.1</t>
  </si>
  <si>
    <t>Alomy_genome_v1</t>
  </si>
  <si>
    <t>GCA_026929855.1</t>
  </si>
  <si>
    <t>FRR_PoAnn_1.0</t>
  </si>
  <si>
    <t>GCA_007115705.1</t>
  </si>
  <si>
    <t>ASM711570v1</t>
  </si>
  <si>
    <t>TAIR10.1</t>
  </si>
  <si>
    <t>GCF_000001735.4</t>
  </si>
  <si>
    <t>Coptis_chinensis</t>
  </si>
  <si>
    <t>Aquilegia_coerulea</t>
  </si>
  <si>
    <t>Thalictrum_thalictroides</t>
  </si>
  <si>
    <t>Geranium_maculatum</t>
  </si>
  <si>
    <t>Arabis_alpina</t>
  </si>
  <si>
    <t>Draba_incana</t>
  </si>
  <si>
    <t>Capsella_bursa-pastoris</t>
  </si>
  <si>
    <t>Alliaria_petiolata</t>
  </si>
  <si>
    <t>Cardamine_resedifolia</t>
  </si>
  <si>
    <t>Biscutella_laevigata_subsp._laevigata</t>
  </si>
  <si>
    <t>Sisymbrium_altissimum</t>
  </si>
  <si>
    <t>Arabidopsis_thaliana</t>
  </si>
  <si>
    <t>Avena_sativa</t>
  </si>
  <si>
    <t>Triticum_aestivum</t>
  </si>
  <si>
    <t>Hordeum_vulgare_subsp._vulgare</t>
  </si>
  <si>
    <t>Lolium_perenne</t>
  </si>
  <si>
    <t>Alopecurus_myosuroides</t>
  </si>
  <si>
    <t>Poa_annua</t>
  </si>
  <si>
    <t>Dactylis_glomerata</t>
  </si>
  <si>
    <t>Lsat_Salinas_v11</t>
  </si>
  <si>
    <t>GCF_002870075.4</t>
  </si>
  <si>
    <t>HanXRQr2.0-SUNRISE</t>
  </si>
  <si>
    <t>GCF_002127325.2</t>
  </si>
  <si>
    <t>GCA_023525715.1</t>
  </si>
  <si>
    <t>ASM2352571v1</t>
  </si>
  <si>
    <t>GCA_025667525.1</t>
  </si>
  <si>
    <t>Gcor_v1</t>
  </si>
  <si>
    <t>GCA_022545495.1</t>
  </si>
  <si>
    <t>ASM2254549v1</t>
  </si>
  <si>
    <t>GCA_014162995.1</t>
  </si>
  <si>
    <t>Aran</t>
  </si>
  <si>
    <t>GCA_026074375.1</t>
  </si>
  <si>
    <t>Tcoc_v1.0</t>
  </si>
  <si>
    <t>GCA_910822075.1</t>
  </si>
  <si>
    <t>dSenSqu2.1</t>
  </si>
  <si>
    <t>Lactuca_sativa</t>
  </si>
  <si>
    <t>Helianthus_annuus</t>
  </si>
  <si>
    <t>Cichorium_intybus</t>
  </si>
  <si>
    <t>Glebionis_coronaria</t>
  </si>
  <si>
    <t>Chrysanthemum_lavandulifolium</t>
  </si>
  <si>
    <t>Artemisia_annua</t>
  </si>
  <si>
    <t>Tanacetum_coccineum</t>
  </si>
  <si>
    <t>Senecio_squalidus</t>
  </si>
  <si>
    <t>Myc</t>
  </si>
  <si>
    <t>Oat _OT3098 _v2</t>
  </si>
  <si>
    <t>Os_Petunia_secreta_predicted_proteins_Os06t0115600-01_R0</t>
  </si>
  <si>
    <t>Os_Nyssa_sinensis_predicted_proteins_Os06t0115600-01_R0</t>
  </si>
  <si>
    <t>Os_Nyssa_sinensis_predicted_proteins_Os06t0115600-01_R1</t>
  </si>
  <si>
    <t>Os_Coptis_chinensis_predicted_proteins_Os06t0115600-01_R0</t>
  </si>
  <si>
    <t>Os_Geranium_maculatum_predicted_proteins_Os06t0115600-01_R0</t>
  </si>
  <si>
    <t>Os_Lactuca_sativa_predicted_proteins_Os06t0115600-01_R0</t>
  </si>
  <si>
    <t>Os_Artemisia_annua_predicted_proteins_Os06t0115600-01_R0</t>
  </si>
  <si>
    <t>Os_Artemisia_annua_predicted_proteins_Os06t0115600-01_R1</t>
  </si>
  <si>
    <t>Os_Ananas_comosus_predicted_proteins_Os06t0115600-01_R0</t>
  </si>
  <si>
    <t>Os_Typha_latifolia_predicted_proteins_Os06t0115600-01_R0</t>
  </si>
  <si>
    <t>Os_Petunia_axillaris_subsp._axillaris_predicted_proteins_Os06t0115600-01_R0</t>
  </si>
  <si>
    <t>Os_Cornus_controversa_predicted_proteins_Os06t0115600-01_R0</t>
  </si>
  <si>
    <t>Os_Cornus_florida_predicted_proteins_Os06t0115600-01_R0</t>
  </si>
  <si>
    <t>Os_Thalictrum_thalictroides_predicted_proteins_Os06t0115600-01_R0</t>
  </si>
  <si>
    <t>Os_Dactylis_glomerata_predicted_proteins_Os06t0115600-01_R0</t>
  </si>
  <si>
    <t>Os_Chrysanthemum_lavandulifolium_predicted_proteins_Os06t0115600-01_R2</t>
  </si>
  <si>
    <t>Os_Chrysanthemum_lavandulifolium_predicted_proteins_Os06t0115600-01_R0</t>
  </si>
  <si>
    <t>Os_Chrysanthemum_lavandulifolium_predicted_proteins_Os06t0115600-01_R1</t>
  </si>
  <si>
    <t>Os_Hydrangea_macrophylla_predicted_proteins_Os06t0115600-01_R1</t>
  </si>
  <si>
    <t>Os_Hydrangea_macrophylla_predicted_proteins_Os06t0115600-01_R2</t>
  </si>
  <si>
    <t>Os_Hydrangea_macrophylla_predicted_proteins_Os06t0115600-01_R0</t>
  </si>
  <si>
    <t>Os_Aquilegia_coerulea_predicted_proteins_Os06t0115600-01_R0</t>
  </si>
  <si>
    <t>Os_Poa_annua_predicted_proteins_Os06t0115600-01_R1</t>
  </si>
  <si>
    <t>Os_Poa_annua_predicted_proteins_Os06t0115600-01_R0</t>
  </si>
  <si>
    <t>Os_Helianthus_annuus_predicted_proteins_Os06t0115600-01_R1</t>
  </si>
  <si>
    <t>Os_Helianthus_annuus_predicted_proteins_Os06t0115600-01_R0</t>
  </si>
  <si>
    <t>Os_Senecio_squalidus_predicted_proteins_Os06t0115600-01_R0</t>
  </si>
  <si>
    <t>Os_Senecio_squalidus_predicted_proteins_Os06t0115600-01_R1</t>
  </si>
  <si>
    <t>Os_Lolium_perenne_predicted_proteins_Os06t0115600-01_R0</t>
  </si>
  <si>
    <t>Os_Cichorium_intybus_predicted_proteins_Os06t0115600-01_R0</t>
  </si>
  <si>
    <t>Os_Tanacetum_coccineum_predicted_proteins_Os06t0115600-01_R2</t>
  </si>
  <si>
    <t>Os_Tanacetum_coccineum_predicted_proteins_Os06t0115600-01_R0</t>
  </si>
  <si>
    <t>Os_Tanacetum_coccineum_predicted_proteins_Os06t0115600-01_R1</t>
  </si>
  <si>
    <t>Os_Alopecurus_myosuroides_predicted_proteins_Os06t0115600-01_R0</t>
  </si>
  <si>
    <t>Os_Avena_sativa_predicted_proteins_Os06t0115600-01_R2</t>
  </si>
  <si>
    <t>Os_Avena_sativa_predicted_proteins_Os06t0115600-01_R0</t>
  </si>
  <si>
    <t>Os_Avena_sativa_predicted_proteins_Os06t0115600-01_R1</t>
  </si>
  <si>
    <t>Os_Hordeum_vulgare_subsp._vulgare_predicted_proteins_Os06t0115600-01_R0</t>
  </si>
  <si>
    <t>Os_Glebionis_coronaria_predicted_proteins_Os06t0115600-01_R1</t>
  </si>
  <si>
    <t>Os_Triticum_aestivum_predicted_proteins_Os06t0115600-01_R2</t>
  </si>
  <si>
    <t>Os_Triticum_aestivum_predicted_proteins_Os06t0115600-01_R1</t>
  </si>
  <si>
    <t>Os_Triticum_aestivum_predicted_proteins_Os06t0115600-01_R0</t>
  </si>
  <si>
    <t>Mt_Petunia_secreta_predicted_proteins_rna-NM_001389474.1_R0</t>
  </si>
  <si>
    <t>Mt_Typha_latifolia_predicted_proteins_rna-NM_001389474.1_R0</t>
  </si>
  <si>
    <t>Mt_Ananas_comosus_predicted_proteins_rna-NM_001389474.1_R0</t>
  </si>
  <si>
    <t>Mt_Petunia_axillaris_subsp._axillaris_predicted_proteins_rna-NM_001389474.1_R0</t>
  </si>
  <si>
    <t>Mt_Nyssa_sinensis_predicted_proteins_rna-NM_001389474.1_R1</t>
  </si>
  <si>
    <t>Mt_Nyssa_sinensis_predicted_proteins_rna-XM_003612556.4_R0</t>
  </si>
  <si>
    <t>Mt_Poa_annua_predicted_proteins_rna-NM_001389474.1_R1</t>
  </si>
  <si>
    <t>Mt_Poa_annua_predicted_proteins_rna-NM_001389474.1_R0</t>
  </si>
  <si>
    <t>Mt_Cornus_florida_predicted_proteins_rna-NM_001389474.1_R0</t>
  </si>
  <si>
    <t>Mt_Cornus_controversa_predicted_proteins_rna-NM_001389474.1_R0</t>
  </si>
  <si>
    <t>Mt_Hydrangea_macrophylla_predicted_proteins_rna-XM_003612556.4_R2</t>
  </si>
  <si>
    <t>Mt_Hydrangea_macrophylla_predicted_proteins_rna-NM_001389474.1_R1</t>
  </si>
  <si>
    <t>Mt_Hydrangea_macrophylla_predicted_proteins_rna-NM_001389474.1_R0</t>
  </si>
  <si>
    <t>Mt_Coptis_chinensis_predicted_proteins_rna-NM_001389474.1_R0</t>
  </si>
  <si>
    <t>Mt_Aquilegia_coerulea_predicted_proteins_rna-NM_001389474.1_R0</t>
  </si>
  <si>
    <t>Mt_Thalictrum_thalictroides_predicted_proteins_rna-NM_001389474.1_R0</t>
  </si>
  <si>
    <t>Mt_Geranium_maculatum_predicted_proteins_rna-XM_003612556.4_R0</t>
  </si>
  <si>
    <t>Mt_Hordeum_vulgare_subsp._vulgare_predicted_proteins_rna-XM_003612556.4_R0</t>
  </si>
  <si>
    <t>Mt_Lolium_perenne_predicted_proteins_rna-XM_003612556.4_R0</t>
  </si>
  <si>
    <t>Mt_Dactylis_glomerata_predicted_proteins_rna-NM_001389474.1_R0</t>
  </si>
  <si>
    <t>Mt_Lactuca_sativa_predicted_proteins_rna-NM_001389474.1_R0</t>
  </si>
  <si>
    <t>Mt_Helianthus_annuus_predicted_proteins_rna-NM_001389474.1_R1</t>
  </si>
  <si>
    <t>Mt_Helianthus_annuus_predicted_proteins_rna-NM_001389474.1_R0</t>
  </si>
  <si>
    <t>Mt_Helianthus_annuus_predicted_proteins_rna-NM_001389474.1_R2</t>
  </si>
  <si>
    <t>Mt_Cichorium_intybus_predicted_proteins_rna-NM_001389474.1_R0</t>
  </si>
  <si>
    <t>Mt_Chrysanthemum_lavandulifolium_predicted_proteins_rna-NM_001389474.1_R0</t>
  </si>
  <si>
    <t>Mt_Chrysanthemum_lavandulifolium_predicted_proteins_rna-NM_001389474.1_R1</t>
  </si>
  <si>
    <t>Mt_Artemisia_annua_predicted_proteins_rna-NM_001389474.1_R0</t>
  </si>
  <si>
    <t>Mt_Artemisia_annua_predicted_proteins_rna-NM_001389474.1_R1</t>
  </si>
  <si>
    <t>Mt_Senecio_squalidus_predicted_proteins_rna-NM_001389474.1_R1</t>
  </si>
  <si>
    <t>Mt_Senecio_squalidus_predicted_proteins_rna-NM_001389474.1_R0</t>
  </si>
  <si>
    <t>Mt_Alopecurus_myosuroides_predicted_proteins_rna-NM_001389474.1_R0</t>
  </si>
  <si>
    <t>Mt_Tanacetum_coccineum_predicted_proteins_rna-NM_001389474.1_R2</t>
  </si>
  <si>
    <t>Mt_Tanacetum_coccineum_predicted_proteins_rna-NM_001389474.1_R0</t>
  </si>
  <si>
    <t>Mt_Tanacetum_coccineum_predicted_proteins_rna-NM_001389474.1_R1</t>
  </si>
  <si>
    <t>Mt_Avena_sativa_predicted_proteins_rna-NM_001389474.1_R2</t>
  </si>
  <si>
    <t>Mt_Avena_sativa_predicted_proteins_rna-NM_001389474.1_R0</t>
  </si>
  <si>
    <t>Mt_Avena_sativa_predicted_proteins_rna-NM_001389474.1_R1</t>
  </si>
  <si>
    <t>Mt_Glebionis_coronaria_predicted_proteins_rna-NM_001389474.1_R1</t>
  </si>
  <si>
    <t>Mt_Glebionis_coronaria_predicted_proteins_rna-NM_001389474.1_R0</t>
  </si>
  <si>
    <t>Mt_Triticum_aestivum_predicted_proteins_rna-XM_003612556.4_R0</t>
  </si>
  <si>
    <t>Mt_Triticum_aestivum_predicted_proteins_rna-XM_003612556.4_R1</t>
  </si>
  <si>
    <t>Mt_Triticum_aestivum_predicted_proteins_rna-XM_003612556.4_R2</t>
  </si>
  <si>
    <t>Os</t>
  </si>
  <si>
    <t>Petunia</t>
  </si>
  <si>
    <t>secreta</t>
  </si>
  <si>
    <t>predicted</t>
  </si>
  <si>
    <t>proteins</t>
  </si>
  <si>
    <t>R0</t>
  </si>
  <si>
    <t>Nyssa</t>
  </si>
  <si>
    <t>sinensis</t>
  </si>
  <si>
    <t>R1</t>
  </si>
  <si>
    <t>Coptis</t>
  </si>
  <si>
    <t>chinensis</t>
  </si>
  <si>
    <t>Geranium</t>
  </si>
  <si>
    <t>maculatum</t>
  </si>
  <si>
    <t>Lactuca</t>
  </si>
  <si>
    <t>Artemisia</t>
  </si>
  <si>
    <t>annua</t>
  </si>
  <si>
    <t>axillaris</t>
  </si>
  <si>
    <t>subsp.</t>
  </si>
  <si>
    <t>Cornus</t>
  </si>
  <si>
    <t>controversa</t>
  </si>
  <si>
    <t>florida</t>
  </si>
  <si>
    <t>Thalictrum</t>
  </si>
  <si>
    <t>thalictroides</t>
  </si>
  <si>
    <t>Dactylis</t>
  </si>
  <si>
    <t>glomerata</t>
  </si>
  <si>
    <t>Chrysanthemum</t>
  </si>
  <si>
    <t>lavandulifolium</t>
  </si>
  <si>
    <t>R2</t>
  </si>
  <si>
    <t>Hydrangea</t>
  </si>
  <si>
    <t>macrophylla</t>
  </si>
  <si>
    <t>Aquilegia</t>
  </si>
  <si>
    <t>coerulea</t>
  </si>
  <si>
    <t>Poa</t>
  </si>
  <si>
    <t>Helianthus</t>
  </si>
  <si>
    <t>annuus</t>
  </si>
  <si>
    <t>Senecio</t>
  </si>
  <si>
    <t>squalidus</t>
  </si>
  <si>
    <t>Lolium</t>
  </si>
  <si>
    <t>perenne</t>
  </si>
  <si>
    <t>Cichorium</t>
  </si>
  <si>
    <t>intybus</t>
  </si>
  <si>
    <t>Tanacetum</t>
  </si>
  <si>
    <t>coccineum</t>
  </si>
  <si>
    <t>Alopecurus</t>
  </si>
  <si>
    <t>Avena</t>
  </si>
  <si>
    <t>Hordeum</t>
  </si>
  <si>
    <t>vulgare</t>
  </si>
  <si>
    <t>Glebionis</t>
  </si>
  <si>
    <t>coronaria</t>
  </si>
  <si>
    <t>Mt</t>
  </si>
  <si>
    <t>rna-NM</t>
  </si>
  <si>
    <t>001389474.1</t>
  </si>
  <si>
    <t>rna-XM</t>
  </si>
  <si>
    <t>003612556.4</t>
  </si>
  <si>
    <t>Polygonaceae</t>
  </si>
  <si>
    <t>Caryophyllaceae</t>
  </si>
  <si>
    <t>Amaranthaceae</t>
  </si>
  <si>
    <t>Solanaceae</t>
  </si>
  <si>
    <t>Droseraceae</t>
  </si>
  <si>
    <t>Cactaceae</t>
  </si>
  <si>
    <t>Cornaceae</t>
  </si>
  <si>
    <t>Nyssaceae</t>
  </si>
  <si>
    <t>Hydrangeaceae</t>
  </si>
  <si>
    <t>Ranunculaceae</t>
  </si>
  <si>
    <t>Geraniaceae</t>
  </si>
  <si>
    <t>Brassicaceae</t>
  </si>
  <si>
    <t>Asteraceae</t>
  </si>
  <si>
    <t>Color</t>
  </si>
  <si>
    <t>sequence_color</t>
  </si>
  <si>
    <t>Fagopyrum</t>
  </si>
  <si>
    <t>Dianthus</t>
  </si>
  <si>
    <t>Amaranthus</t>
  </si>
  <si>
    <t>Silene</t>
  </si>
  <si>
    <t>Agrostemma</t>
  </si>
  <si>
    <t>Polygonum</t>
  </si>
  <si>
    <t>Spergularia</t>
  </si>
  <si>
    <t>Chenopodium</t>
  </si>
  <si>
    <t>Gypsophila</t>
  </si>
  <si>
    <t>Drosera</t>
  </si>
  <si>
    <t>Carnegiea</t>
  </si>
  <si>
    <t>Heliosperma</t>
  </si>
  <si>
    <t>Beta</t>
  </si>
  <si>
    <t>Spinacia</t>
  </si>
  <si>
    <t>Arabis</t>
  </si>
  <si>
    <t>Draba</t>
  </si>
  <si>
    <t>Capsella</t>
  </si>
  <si>
    <t>Alliaria</t>
  </si>
  <si>
    <t>Cardamine</t>
  </si>
  <si>
    <t>Biscutella</t>
  </si>
  <si>
    <t>Sisymbrium</t>
  </si>
  <si>
    <t>Arabidopsis</t>
  </si>
  <si>
    <t>Genus</t>
  </si>
  <si>
    <t>#0f4426</t>
  </si>
  <si>
    <t>#1e8449</t>
  </si>
  <si>
    <t>#492359</t>
  </si>
  <si>
    <t>#8e44ad</t>
  </si>
  <si>
    <t>#ad4498</t>
  </si>
  <si>
    <t>#dfafd6</t>
  </si>
  <si>
    <t>#784507</t>
  </si>
  <si>
    <t>#d47a0d</t>
  </si>
  <si>
    <t>#8c7209</t>
  </si>
  <si>
    <t>#f9b599</t>
  </si>
  <si>
    <t>#780d07</t>
  </si>
  <si>
    <t>#c2150b</t>
  </si>
  <si>
    <t>#3ac42d</t>
  </si>
  <si>
    <t>Medicago_truncatula</t>
  </si>
  <si>
    <t>Oryza_sativa</t>
  </si>
  <si>
    <t>Oryza</t>
  </si>
  <si>
    <t>Medicago</t>
  </si>
  <si>
    <t>#c5f2c2</t>
  </si>
  <si>
    <t>#c2f2ef</t>
  </si>
  <si>
    <t>#faaebd</t>
  </si>
  <si>
    <t>#e3cec5</t>
  </si>
  <si>
    <t>#d5c584</t>
  </si>
  <si>
    <t>#ffff4e</t>
  </si>
  <si>
    <t>form</t>
  </si>
  <si>
    <t>size</t>
  </si>
  <si>
    <t>pos</t>
  </si>
  <si>
    <t>fill</t>
  </si>
  <si>
    <t>Os_Petunia_secreta_predicted_proteins_Os05t0489900-01_R1</t>
  </si>
  <si>
    <t>Os_Petunia_secreta_predicted_proteins_Os05t0489900-01_R0</t>
  </si>
  <si>
    <t>Os_Nyssa_sinensis_predicted_proteins_Os05t0489900-01_R0</t>
  </si>
  <si>
    <t>Os_Coptis_chinensis_predicted_proteins_Os05t0489900-01_R0</t>
  </si>
  <si>
    <t>Os_Geranium_maculatum_predicted_proteins_Os05t0489900-01_R0</t>
  </si>
  <si>
    <t>Os_Lactuca_sativa_predicted_proteins_Os05t0489900-01_R0</t>
  </si>
  <si>
    <t>Os_Artemisia_annua_predicted_proteins_Os05t0489900-01_R0</t>
  </si>
  <si>
    <t>Os_Ananas_comosus_predicted_proteins_Os05t0489900-01_R0</t>
  </si>
  <si>
    <t>Os_Typha_latifolia_predicted_proteins_Os05t0489900-01_R0</t>
  </si>
  <si>
    <t>Os_Luzula_sylvatica_predicted_proteins_Os05t0489900-01_R0</t>
  </si>
  <si>
    <t>Os_Petunia_axillaris_subsp._axillaris_predicted_proteins_Os05t0489900-01_R0</t>
  </si>
  <si>
    <t>Os_Silene_uniflora_predicted_proteins_Os05t0489900-01_R0</t>
  </si>
  <si>
    <t>Os_Cornus_controversa_predicted_proteins_Os05t0489900-01_R0</t>
  </si>
  <si>
    <t>Os_Cornus_florida_predicted_proteins_Os05t0489900-01_R0</t>
  </si>
  <si>
    <t>Os_Thalictrum_thalictroides_predicted_proteins_Os05t0489900-01_R0</t>
  </si>
  <si>
    <t>Os_Dactylis_glomerata_predicted_proteins_Os05t0489900-01_R0</t>
  </si>
  <si>
    <t>Os_Chrysanthemum_lavandulifolium_predicted_proteins_Os05t0489900-01_R0</t>
  </si>
  <si>
    <t>Os_Hydrangea_macrophylla_predicted_proteins_Os05t0489900-01_R0</t>
  </si>
  <si>
    <t>Os_Aquilegia_coerulea_predicted_proteins_Os05t0489900-01_R0</t>
  </si>
  <si>
    <t>Os_Poa_annua_predicted_proteins_Os05t0489900-01_R1</t>
  </si>
  <si>
    <t>Os_Poa_annua_predicted_proteins_Os05t0489900-01_R0</t>
  </si>
  <si>
    <t>Os_Helianthus_annuus_predicted_proteins_Os05t0489900-01_R0</t>
  </si>
  <si>
    <t>Os_Senecio_squalidus_predicted_proteins_Os05t0489900-01_R0</t>
  </si>
  <si>
    <t>Os_Lolium_perenne_predicted_proteins_Os05t0489900-01_R0</t>
  </si>
  <si>
    <t>Os_Cichorium_intybus_predicted_proteins_Os05t0489900-01_R0</t>
  </si>
  <si>
    <t>Os_Tanacetum_coccineum_predicted_proteins_Os05t0489900-01_R0</t>
  </si>
  <si>
    <t>Os_Alopecurus_myosuroides_predicted_proteins_Os05t0489900-01_R0</t>
  </si>
  <si>
    <t>Os_Avena_sativa_predicted_proteins_Os05t0489900-01_R4</t>
  </si>
  <si>
    <t>Os_Avena_sativa_predicted_proteins_Os05t0489900-01_R1</t>
  </si>
  <si>
    <t>Os_Avena_sativa_predicted_proteins_Os05t0489900-01_R0</t>
  </si>
  <si>
    <t>Os_Avena_sativa_predicted_proteins_Os05t0489900-01_R3</t>
  </si>
  <si>
    <t>Os_Avena_sativa_predicted_proteins_Os05t0489900-01_R2</t>
  </si>
  <si>
    <t>Os_Hordeum_vulgare_subsp._vulgare_predicted_proteins_Os05t0489900-01_R0</t>
  </si>
  <si>
    <t>Os_Glebionis_coronaria_predicted_proteins_Os05t0489900-01_R0</t>
  </si>
  <si>
    <t>Os_Triticum_aestivum_predicted_proteins_Os05t0489900-01_R1</t>
  </si>
  <si>
    <t>Os_Triticum_aestivum_predicted_proteins_Os05t0489900-01_R0</t>
  </si>
  <si>
    <t>Os_Triticum_aestivum_predicted_proteins_Os05t0489900-01_R2</t>
  </si>
  <si>
    <t>Mt_Petunia_secreta_predicted_proteins_rna-NM_001376225.1_R1</t>
  </si>
  <si>
    <t>Mt_Petunia_secreta_predicted_proteins_rna-NM_001376225.1_R0</t>
  </si>
  <si>
    <t>Mt_Typha_latifolia_predicted_proteins_rna-NM_001376225.1_R0</t>
  </si>
  <si>
    <t>Mt_Ananas_comosus_predicted_proteins_rna-NM_001376225.1_R0</t>
  </si>
  <si>
    <t>Mt_Petunia_axillaris_subsp._axillaris_predicted_proteins_rna-NM_001376225.1_R0</t>
  </si>
  <si>
    <t>Mt_Nyssa_sinensis_predicted_proteins_rna-NM_001376225.1_R0</t>
  </si>
  <si>
    <t>Mt_Poa_annua_predicted_proteins_rna-NM_001376225.1_R1</t>
  </si>
  <si>
    <t>Mt_Poa_annua_predicted_proteins_rna-NM_001376225.1_R0</t>
  </si>
  <si>
    <t>Mt_Cornus_florida_predicted_proteins_rna-NM_001376225.1_R0</t>
  </si>
  <si>
    <t>Mt_Cornus_controversa_predicted_proteins_rna-NM_001376225.1_R0</t>
  </si>
  <si>
    <t>Mt_Hydrangea_macrophylla_predicted_proteins_rna-NM_001376225.1_R0</t>
  </si>
  <si>
    <t>Mt_Coptis_chinensis_predicted_proteins_rna-NM_001376225.1_R0</t>
  </si>
  <si>
    <t>Mt_Aquilegia_coerulea_predicted_proteins_rna-NM_001376225.1_R0</t>
  </si>
  <si>
    <t>Mt_Thalictrum_thalictroides_predicted_proteins_rna-NM_001376225.1_R0</t>
  </si>
  <si>
    <t>Mt_Geranium_maculatum_predicted_proteins_rna-NM_001376225.1_R0</t>
  </si>
  <si>
    <t>Mt_Hordeum_vulgare_subsp._vulgare_predicted_proteins_rna-NM_001376225.1_R0</t>
  </si>
  <si>
    <t>Mt_Lolium_perenne_predicted_proteins_rna-NM_001376225.1_R0</t>
  </si>
  <si>
    <t>Mt_Dactylis_glomerata_predicted_proteins_rna-NM_001376225.1_R0</t>
  </si>
  <si>
    <t>Mt_Lactuca_sativa_predicted_proteins_rna-NM_001376225.1_R0</t>
  </si>
  <si>
    <t>Mt_Helianthus_annuus_predicted_proteins_rna-NM_001376225.1_R0</t>
  </si>
  <si>
    <t>Mt_Cichorium_intybus_predicted_proteins_rna-NM_001376225.1_R0</t>
  </si>
  <si>
    <t>Mt_Chrysanthemum_lavandulifolium_predicted_proteins_rna-NM_001376225.1_R0</t>
  </si>
  <si>
    <t>Mt_Artemisia_annua_predicted_proteins_rna-NM_001376225.1_R0</t>
  </si>
  <si>
    <t>Mt_Senecio_squalidus_predicted_proteins_rna-NM_001376225.1_R0</t>
  </si>
  <si>
    <t>Mt_Alopecurus_myosuroides_predicted_proteins_rna-NM_001376225.1_R0</t>
  </si>
  <si>
    <t>Mt_Tanacetum_coccineum_predicted_proteins_rna-NM_001376225.1_R0</t>
  </si>
  <si>
    <t>Mt_Avena_sativa_predicted_proteins_rna-NM_001376225.1_R4</t>
  </si>
  <si>
    <t>Mt_Avena_sativa_predicted_proteins_rna-NM_001376225.1_R0</t>
  </si>
  <si>
    <t>Mt_Avena_sativa_predicted_proteins_rna-NM_001376225.1_R2</t>
  </si>
  <si>
    <t>Mt_Avena_sativa_predicted_proteins_rna-NM_001376225.1_R3</t>
  </si>
  <si>
    <t>Mt_Avena_sativa_predicted_proteins_rna-NM_001376225.1_R1</t>
  </si>
  <si>
    <t>Mt_Glebionis_coronaria_predicted_proteins_rna-NM_001376225.1_R0</t>
  </si>
  <si>
    <t>Mt_Triticum_aestivum_predicted_proteins_rna-NM_001376225.1_R2</t>
  </si>
  <si>
    <t>Mt_Triticum_aestivum_predicted_proteins_rna-NM_001376225.1_R1</t>
  </si>
  <si>
    <t>Mt_Triticum_aestivum_predicted_proteins_rna-NM_001376225.1_R0</t>
  </si>
  <si>
    <t>sylvatica</t>
  </si>
  <si>
    <t>uniflora</t>
  </si>
  <si>
    <t>R4</t>
  </si>
  <si>
    <t>R3</t>
  </si>
  <si>
    <t>001376225.1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</si>
</sst>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 (Body)"/>
    </font>
    <font>
      <sz val="8"/>
      <name val="Calibri"/>
      <family val="2"/>
      <scheme val="minor"/>
    </font>
    <font>
      <sz val="13"/>
      <color rgb="FF780D07"/>
      <name val="Verdana"/>
      <family val="2"/>
    </font>
    <font>
      <b/>
      <sz val="12"/>
      <color rgb="FF777777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4" fillId="0" borderId="0" xfId="1" applyFont="1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  <xf numFmtId="0" fontId="1" fillId="6" borderId="0" xfId="0" applyFont="1" applyFill="1"/>
    <xf numFmtId="0" fontId="0" fillId="0" borderId="1" xfId="0" applyBorder="1"/>
    <xf numFmtId="0" fontId="0" fillId="7" borderId="0" xfId="0" applyFill="1"/>
    <xf numFmtId="0" fontId="0" fillId="5" borderId="2" xfId="0" applyFill="1" applyBorder="1"/>
    <xf numFmtId="0" fontId="0" fillId="0" borderId="2" xfId="0" applyBorder="1"/>
    <xf numFmtId="0" fontId="0" fillId="8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EB2E-B69F-9645-8BE4-CE228C50B653}">
  <dimension ref="A1:O78"/>
  <sheetViews>
    <sheetView zoomScale="80" zoomScaleNormal="80" workbookViewId="0">
      <selection activeCell="B8" sqref="B8"/>
    </sheetView>
  </sheetViews>
  <sheetFormatPr baseColWidth="10" defaultRowHeight="16" x14ac:dyDescent="0.2"/>
  <cols>
    <col min="1" max="1" width="34" bestFit="1" customWidth="1"/>
    <col min="2" max="2" width="115.1640625" bestFit="1" customWidth="1"/>
    <col min="3" max="3" width="48" bestFit="1" customWidth="1"/>
    <col min="4" max="4" width="41.5" bestFit="1" customWidth="1"/>
    <col min="5" max="5" width="48.1640625" customWidth="1"/>
    <col min="6" max="6" width="255.6640625" customWidth="1"/>
    <col min="7" max="7" width="66.1640625" customWidth="1"/>
    <col min="8" max="8" width="48.1640625" bestFit="1" customWidth="1"/>
    <col min="9" max="9" width="175.1640625" bestFit="1" customWidth="1"/>
    <col min="10" max="10" width="65.1640625" bestFit="1" customWidth="1"/>
    <col min="11" max="11" width="51.83203125" bestFit="1" customWidth="1"/>
    <col min="12" max="12" width="24" bestFit="1" customWidth="1"/>
    <col min="13" max="13" width="137.5" bestFit="1" customWidth="1"/>
  </cols>
  <sheetData>
    <row r="1" spans="1:13" s="4" customFormat="1" x14ac:dyDescent="0.2">
      <c r="A1" s="4" t="s">
        <v>51</v>
      </c>
    </row>
    <row r="2" spans="1:13" x14ac:dyDescent="0.2">
      <c r="D2" t="s">
        <v>183</v>
      </c>
      <c r="E2" s="1" t="s">
        <v>191</v>
      </c>
      <c r="F2" s="1" t="s">
        <v>28</v>
      </c>
    </row>
    <row r="3" spans="1:13" x14ac:dyDescent="0.2">
      <c r="A3" t="s">
        <v>26</v>
      </c>
      <c r="B3" t="s">
        <v>180</v>
      </c>
      <c r="D3" t="s">
        <v>190</v>
      </c>
      <c r="E3" t="s">
        <v>189</v>
      </c>
      <c r="F3" t="s">
        <v>189</v>
      </c>
    </row>
    <row r="4" spans="1:13" x14ac:dyDescent="0.2">
      <c r="A4" t="s">
        <v>29</v>
      </c>
      <c r="B4" t="s">
        <v>178</v>
      </c>
      <c r="D4" t="s">
        <v>184</v>
      </c>
      <c r="E4" t="s">
        <v>182</v>
      </c>
      <c r="F4" t="s">
        <v>182</v>
      </c>
    </row>
    <row r="5" spans="1:13" x14ac:dyDescent="0.2">
      <c r="A5" t="s">
        <v>30</v>
      </c>
      <c r="B5" t="s">
        <v>179</v>
      </c>
      <c r="D5" t="s">
        <v>185</v>
      </c>
      <c r="E5" t="s">
        <v>186</v>
      </c>
      <c r="F5" t="s">
        <v>186</v>
      </c>
    </row>
    <row r="6" spans="1:13" x14ac:dyDescent="0.2">
      <c r="A6" t="s">
        <v>31</v>
      </c>
      <c r="B6" t="s">
        <v>181</v>
      </c>
      <c r="D6" t="s">
        <v>187</v>
      </c>
      <c r="E6" t="s">
        <v>188</v>
      </c>
      <c r="F6" t="s">
        <v>188</v>
      </c>
    </row>
    <row r="10" spans="1:13" s="7" customFormat="1" x14ac:dyDescent="0.2">
      <c r="A10" s="7" t="s">
        <v>70</v>
      </c>
    </row>
    <row r="11" spans="1:13" x14ac:dyDescent="0.2">
      <c r="F11" s="8" t="s">
        <v>67</v>
      </c>
      <c r="M11" s="9" t="s">
        <v>68</v>
      </c>
    </row>
    <row r="12" spans="1:13" x14ac:dyDescent="0.2">
      <c r="A12" t="s">
        <v>33</v>
      </c>
      <c r="B12" t="s">
        <v>32</v>
      </c>
      <c r="C12" t="s">
        <v>1</v>
      </c>
      <c r="D12" t="s">
        <v>0</v>
      </c>
      <c r="E12" t="str">
        <f t="shared" ref="E12:E27" si="0">CONCATENATE("/",C12,"_",D12,"_","genomic.fna")</f>
        <v>/GCF_001540865.1_ASM154086v1_genomic.fna</v>
      </c>
      <c r="F12" s="5" t="str">
        <f>CONCATENATE(B12,C12,E12," ",H12," ",I12)</f>
        <v>GeMoMa GeMoMaPipeline threads=12 GeMoMa.Score=ReAlign AnnotationFinalizer.r=NO o=true t=~/genomes/ncbi_dataset/data/GCF_001540865.1/GCF_001540865.1_ASM154086v1_genomic.fna outdir=~/gemoma/Os_Ananas_comosus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12" t="s">
        <v>176</v>
      </c>
      <c r="H12" t="str">
        <f t="shared" ref="H12:H27" si="1">CONCATENATE(G12,A12)</f>
        <v>outdir=~/gemoma/Os_Ananas_comosus</v>
      </c>
      <c r="I12" t="s">
        <v>192</v>
      </c>
      <c r="J12" t="s">
        <v>66</v>
      </c>
      <c r="K12" t="s">
        <v>69</v>
      </c>
      <c r="L12" t="str">
        <f t="shared" ref="L12:L27" si="2">CONCATENATE(A12,".zip")</f>
        <v>Ananas_comosus.zip</v>
      </c>
      <c r="M12" t="str">
        <f t="shared" ref="M12:M27" si="3">CONCATENATE(J12,C12,K12,L12)</f>
        <v>datasets download genome accession GCF_001540865.1 --include gff3,rna,cds,protein,genome,seq-report --filename Ananas_comosus.zip</v>
      </c>
    </row>
    <row r="13" spans="1:13" x14ac:dyDescent="0.2">
      <c r="A13" t="s">
        <v>34</v>
      </c>
      <c r="B13" t="s">
        <v>32</v>
      </c>
      <c r="C13" t="s">
        <v>2</v>
      </c>
      <c r="D13" t="s">
        <v>3</v>
      </c>
      <c r="E13" t="str">
        <f t="shared" si="0"/>
        <v>/GCA_028015225.1_CAF_CaMyos_1.0_genomic.fna</v>
      </c>
      <c r="F13" s="5" t="str">
        <f t="shared" ref="F13:F27" si="4">CONCATENATE(B13,C13,E13," ",H13," ",I13)</f>
        <v>GeMoMa GeMoMaPipeline threads=12 GeMoMa.Score=ReAlign AnnotationFinalizer.r=NO o=true t=~/genomes/ncbi_dataset/data/GCA_028015225.1/GCA_028015225.1_CAF_CaMyos_1.0_genomic.fna outdir=~/gemoma/Os_Carex_myosuroides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13" t="s">
        <v>176</v>
      </c>
      <c r="H13" t="str">
        <f t="shared" si="1"/>
        <v>outdir=~/gemoma/Os_Carex_myosuroides</v>
      </c>
      <c r="I13" t="s">
        <v>192</v>
      </c>
      <c r="J13" t="s">
        <v>66</v>
      </c>
      <c r="K13" t="s">
        <v>69</v>
      </c>
      <c r="L13" t="str">
        <f t="shared" si="2"/>
        <v>Carex_myosuroides.zip</v>
      </c>
      <c r="M13" t="str">
        <f t="shared" si="3"/>
        <v>datasets download genome accession GCA_028015225.1 --include gff3,rna,cds,protein,genome,seq-report --filename Carex_myosuroides.zip</v>
      </c>
    </row>
    <row r="14" spans="1:13" x14ac:dyDescent="0.2">
      <c r="A14" t="s">
        <v>35</v>
      </c>
      <c r="B14" t="s">
        <v>32</v>
      </c>
      <c r="C14" t="s">
        <v>4</v>
      </c>
      <c r="D14" t="s">
        <v>5</v>
      </c>
      <c r="E14" t="str">
        <f t="shared" si="0"/>
        <v>/GCA_019914945.1_TyphaL0001_genomic.fna</v>
      </c>
      <c r="F14" s="5" t="str">
        <f t="shared" si="4"/>
        <v>GeMoMa GeMoMaPipeline threads=12 GeMoMa.Score=ReAlign AnnotationFinalizer.r=NO o=true t=~/genomes/ncbi_dataset/data/GCA_019914945.1/GCA_019914945.1_TyphaL0001_genomic.fna outdir=~/gemoma/Os_Typha_latifolia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14" t="s">
        <v>176</v>
      </c>
      <c r="H14" t="str">
        <f t="shared" si="1"/>
        <v>outdir=~/gemoma/Os_Typha_latifolia</v>
      </c>
      <c r="I14" t="s">
        <v>192</v>
      </c>
      <c r="J14" t="s">
        <v>66</v>
      </c>
      <c r="K14" t="s">
        <v>69</v>
      </c>
      <c r="L14" t="str">
        <f t="shared" si="2"/>
        <v>Typha_latifolia.zip</v>
      </c>
      <c r="M14" t="str">
        <f t="shared" si="3"/>
        <v>datasets download genome accession GCA_019914945.1 --include gff3,rna,cds,protein,genome,seq-report --filename Typha_latifolia.zip</v>
      </c>
    </row>
    <row r="15" spans="1:13" x14ac:dyDescent="0.2">
      <c r="A15" t="s">
        <v>36</v>
      </c>
      <c r="B15" t="s">
        <v>32</v>
      </c>
      <c r="C15" t="s">
        <v>6</v>
      </c>
      <c r="D15" t="s">
        <v>7</v>
      </c>
      <c r="E15" t="str">
        <f t="shared" si="0"/>
        <v>/GCA_011114355.1_ASM1111435v1_genomic.fna</v>
      </c>
      <c r="F15" s="5" t="str">
        <f t="shared" si="4"/>
        <v>GeMoMa GeMoMaPipeline threads=12 GeMoMa.Score=ReAlign AnnotationFinalizer.r=NO o=true t=~/genomes/ncbi_dataset/data/GCA_011114355.1/GCA_011114355.1_ASM1111435v1_genomic.fna outdir=~/gemoma/Os_Carex_littledalei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15" t="s">
        <v>176</v>
      </c>
      <c r="H15" t="str">
        <f t="shared" si="1"/>
        <v>outdir=~/gemoma/Os_Carex_littledalei</v>
      </c>
      <c r="I15" t="s">
        <v>192</v>
      </c>
      <c r="J15" t="s">
        <v>66</v>
      </c>
      <c r="K15" t="s">
        <v>69</v>
      </c>
      <c r="L15" t="str">
        <f t="shared" si="2"/>
        <v>Carex_littledalei.zip</v>
      </c>
      <c r="M15" t="str">
        <f t="shared" si="3"/>
        <v>datasets download genome accession GCA_011114355.1 --include gff3,rna,cds,protein,genome,seq-report --filename Carex_littledalei.zip</v>
      </c>
    </row>
    <row r="16" spans="1:13" x14ac:dyDescent="0.2">
      <c r="A16" t="s">
        <v>37</v>
      </c>
      <c r="B16" t="s">
        <v>32</v>
      </c>
      <c r="C16" t="s">
        <v>8</v>
      </c>
      <c r="D16" t="s">
        <v>9</v>
      </c>
      <c r="E16" t="str">
        <f t="shared" si="0"/>
        <v>/GCA_031770325.1_CAF_BolPas_1.0_genomic.fna</v>
      </c>
      <c r="F16" s="5" t="str">
        <f t="shared" si="4"/>
        <v>GeMoMa GeMoMaPipeline threads=12 GeMoMa.Score=ReAlign AnnotationFinalizer.r=NO o=true t=~/genomes/ncbi_dataset/data/GCA_031770325.1/GCA_031770325.1_CAF_BolPas_1.0_genomic.fna outdir=~/gemoma/Os_Bolboschoenus_planiculmis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16" t="s">
        <v>176</v>
      </c>
      <c r="H16" t="str">
        <f t="shared" si="1"/>
        <v>outdir=~/gemoma/Os_Bolboschoenus_planiculmis</v>
      </c>
      <c r="I16" t="s">
        <v>192</v>
      </c>
      <c r="J16" t="s">
        <v>66</v>
      </c>
      <c r="K16" t="s">
        <v>69</v>
      </c>
      <c r="L16" t="str">
        <f t="shared" si="2"/>
        <v>Bolboschoenus_planiculmis.zip</v>
      </c>
      <c r="M16" t="str">
        <f t="shared" si="3"/>
        <v>datasets download genome accession GCA_031770325.1 --include gff3,rna,cds,protein,genome,seq-report --filename Bolboschoenus_planiculmis.zip</v>
      </c>
    </row>
    <row r="17" spans="1:13" x14ac:dyDescent="0.2">
      <c r="A17" t="s">
        <v>38</v>
      </c>
      <c r="B17" t="s">
        <v>32</v>
      </c>
      <c r="C17" t="s">
        <v>10</v>
      </c>
      <c r="D17" t="s">
        <v>11</v>
      </c>
      <c r="E17" t="str">
        <f t="shared" si="0"/>
        <v>/GCA_027725995.1_MPIPZ_rhyTen1m_1_genomic.fna</v>
      </c>
      <c r="F17" s="5" t="str">
        <f t="shared" si="4"/>
        <v>GeMoMa GeMoMaPipeline threads=12 GeMoMa.Score=ReAlign AnnotationFinalizer.r=NO o=true t=~/genomes/ncbi_dataset/data/GCA_027725995.1/GCA_027725995.1_MPIPZ_rhyTen1m_1_genomic.fna outdir=~/gemoma/Os_Rhynchospora_tenuis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17" t="s">
        <v>176</v>
      </c>
      <c r="H17" t="str">
        <f t="shared" si="1"/>
        <v>outdir=~/gemoma/Os_Rhynchospora_tenuis</v>
      </c>
      <c r="I17" t="s">
        <v>192</v>
      </c>
      <c r="J17" t="s">
        <v>66</v>
      </c>
      <c r="K17" t="s">
        <v>69</v>
      </c>
      <c r="L17" t="str">
        <f t="shared" si="2"/>
        <v>Rhynchospora_tenuis.zip</v>
      </c>
      <c r="M17" t="str">
        <f t="shared" si="3"/>
        <v>datasets download genome accession GCA_027725995.1 --include gff3,rna,cds,protein,genome,seq-report --filename Rhynchospora_tenuis.zip</v>
      </c>
    </row>
    <row r="18" spans="1:13" x14ac:dyDescent="0.2">
      <c r="A18" t="s">
        <v>39</v>
      </c>
      <c r="B18" t="s">
        <v>32</v>
      </c>
      <c r="C18" t="s">
        <v>12</v>
      </c>
      <c r="D18" t="s">
        <v>13</v>
      </c>
      <c r="E18" t="str">
        <f t="shared" si="0"/>
        <v>/GCA_028095005.1_MPIPZ_rhyPub2m_2.0_genomic.fna</v>
      </c>
      <c r="F18" s="5" t="str">
        <f t="shared" si="4"/>
        <v>GeMoMa GeMoMaPipeline threads=12 GeMoMa.Score=ReAlign AnnotationFinalizer.r=NO o=true t=~/genomes/ncbi_dataset/data/GCA_028095005.1/GCA_028095005.1_MPIPZ_rhyPub2m_2.0_genomic.fna outdir=~/gemoma/Os_Rhynchospora_pubera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18" t="s">
        <v>176</v>
      </c>
      <c r="H18" t="str">
        <f t="shared" si="1"/>
        <v>outdir=~/gemoma/Os_Rhynchospora_pubera</v>
      </c>
      <c r="I18" t="s">
        <v>192</v>
      </c>
      <c r="J18" t="s">
        <v>66</v>
      </c>
      <c r="K18" t="s">
        <v>69</v>
      </c>
      <c r="L18" t="str">
        <f t="shared" si="2"/>
        <v>Rhynchospora_pubera.zip</v>
      </c>
      <c r="M18" t="str">
        <f t="shared" si="3"/>
        <v>datasets download genome accession GCA_028095005.1 --include gff3,rna,cds,protein,genome,seq-report --filename Rhynchospora_pubera.zip</v>
      </c>
    </row>
    <row r="19" spans="1:13" x14ac:dyDescent="0.2">
      <c r="A19" t="s">
        <v>40</v>
      </c>
      <c r="B19" t="s">
        <v>32</v>
      </c>
      <c r="C19" t="s">
        <v>14</v>
      </c>
      <c r="D19" t="s">
        <v>15</v>
      </c>
      <c r="E19" t="str">
        <f t="shared" si="0"/>
        <v>/GCA_027562975.1_MPIPZ_rhyBre1m_1.0_genomic.fna</v>
      </c>
      <c r="F19" s="5" t="str">
        <f t="shared" si="4"/>
        <v>GeMoMa GeMoMaPipeline threads=12 GeMoMa.Score=ReAlign AnnotationFinalizer.r=NO o=true t=~/genomes/ncbi_dataset/data/GCA_027562975.1/GCA_027562975.1_MPIPZ_rhyBre1m_1.0_genomic.fna outdir=~/gemoma/Os_Rhynchospora_breviuscula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19" t="s">
        <v>176</v>
      </c>
      <c r="H19" t="str">
        <f t="shared" si="1"/>
        <v>outdir=~/gemoma/Os_Rhynchospora_breviuscula</v>
      </c>
      <c r="I19" t="s">
        <v>192</v>
      </c>
      <c r="J19" t="s">
        <v>66</v>
      </c>
      <c r="K19" t="s">
        <v>69</v>
      </c>
      <c r="L19" t="str">
        <f t="shared" si="2"/>
        <v>Rhynchospora_breviuscula.zip</v>
      </c>
      <c r="M19" t="str">
        <f t="shared" si="3"/>
        <v>datasets download genome accession GCA_027562975.1 --include gff3,rna,cds,protein,genome,seq-report --filename Rhynchospora_breviuscula.zip</v>
      </c>
    </row>
    <row r="20" spans="1:13" x14ac:dyDescent="0.2">
      <c r="A20" t="s">
        <v>41</v>
      </c>
      <c r="B20" t="s">
        <v>32</v>
      </c>
      <c r="C20" t="s">
        <v>16</v>
      </c>
      <c r="D20" t="s">
        <v>17</v>
      </c>
      <c r="E20" t="str">
        <f t="shared" si="0"/>
        <v>/GCA_030179965.1_Ces_v0.1_genomic.fna</v>
      </c>
      <c r="F20" s="5" t="str">
        <f t="shared" si="4"/>
        <v>GeMoMa GeMoMaPipeline threads=12 GeMoMa.Score=ReAlign AnnotationFinalizer.r=NO o=true t=~/genomes/ncbi_dataset/data/GCA_030179965.1/GCA_030179965.1_Ces_v0.1_genomic.fna outdir=~/gemoma/Os_Cyperus_esculentus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0" t="s">
        <v>176</v>
      </c>
      <c r="H20" t="str">
        <f t="shared" si="1"/>
        <v>outdir=~/gemoma/Os_Cyperus_esculentus</v>
      </c>
      <c r="I20" t="s">
        <v>192</v>
      </c>
      <c r="J20" t="s">
        <v>66</v>
      </c>
      <c r="K20" t="s">
        <v>69</v>
      </c>
      <c r="L20" t="str">
        <f t="shared" si="2"/>
        <v>Cyperus_esculentus.zip</v>
      </c>
      <c r="M20" t="str">
        <f t="shared" si="3"/>
        <v>datasets download genome accession GCA_030179965.1 --include gff3,rna,cds,protein,genome,seq-report --filename Cyperus_esculentus.zip</v>
      </c>
    </row>
    <row r="21" spans="1:13" x14ac:dyDescent="0.2">
      <c r="A21" t="s">
        <v>42</v>
      </c>
      <c r="B21" t="s">
        <v>32</v>
      </c>
      <c r="C21" t="s">
        <v>18</v>
      </c>
      <c r="D21" t="s">
        <v>19</v>
      </c>
      <c r="E21" t="str">
        <f t="shared" si="0"/>
        <v>/GCA_025461125.1_ASM2546112v1_genomic.fna</v>
      </c>
      <c r="F21" s="5" t="str">
        <f t="shared" si="4"/>
        <v>GeMoMa GeMoMaPipeline threads=12 GeMoMa.Score=ReAlign AnnotationFinalizer.r=NO o=true t=~/genomes/ncbi_dataset/data/GCA_025461125.1/GCA_025461125.1_ASM2546112v1_genomic.fna outdir=~/gemoma/Os_Carex_kokanica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1" t="s">
        <v>176</v>
      </c>
      <c r="H21" t="str">
        <f t="shared" si="1"/>
        <v>outdir=~/gemoma/Os_Carex_kokanica</v>
      </c>
      <c r="I21" t="s">
        <v>192</v>
      </c>
      <c r="J21" t="s">
        <v>66</v>
      </c>
      <c r="K21" t="s">
        <v>69</v>
      </c>
      <c r="L21" t="str">
        <f t="shared" si="2"/>
        <v>Carex_kokanica.zip</v>
      </c>
      <c r="M21" t="str">
        <f t="shared" si="3"/>
        <v>datasets download genome accession GCA_025461125.1 --include gff3,rna,cds,protein,genome,seq-report --filename Carex_kokanica.zip</v>
      </c>
    </row>
    <row r="22" spans="1:13" x14ac:dyDescent="0.2">
      <c r="A22" t="s">
        <v>43</v>
      </c>
      <c r="B22" t="s">
        <v>32</v>
      </c>
      <c r="C22" t="s">
        <v>20</v>
      </c>
      <c r="D22" t="s">
        <v>21</v>
      </c>
      <c r="E22" t="str">
        <f t="shared" si="0"/>
        <v>/GCA_024447775.1_MSU_CaCris_1.0_genomic.fna</v>
      </c>
      <c r="F22" s="5" t="str">
        <f t="shared" si="4"/>
        <v>GeMoMa GeMoMaPipeline threads=12 GeMoMa.Score=ReAlign AnnotationFinalizer.r=NO o=true t=~/genomes/ncbi_dataset/data/GCA_024447775.1/GCA_024447775.1_MSU_CaCris_1.0_genomic.fna outdir=~/gemoma/Os_Carex_cristatella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2" t="s">
        <v>176</v>
      </c>
      <c r="H22" t="str">
        <f t="shared" si="1"/>
        <v>outdir=~/gemoma/Os_Carex_cristatella</v>
      </c>
      <c r="I22" t="s">
        <v>192</v>
      </c>
      <c r="J22" t="s">
        <v>66</v>
      </c>
      <c r="K22" t="s">
        <v>69</v>
      </c>
      <c r="L22" t="str">
        <f t="shared" si="2"/>
        <v>Carex_cristatella.zip</v>
      </c>
      <c r="M22" t="str">
        <f t="shared" si="3"/>
        <v>datasets download genome accession GCA_024447775.1 --include gff3,rna,cds,protein,genome,seq-report --filename Carex_cristatella.zip</v>
      </c>
    </row>
    <row r="23" spans="1:13" x14ac:dyDescent="0.2">
      <c r="A23" t="s">
        <v>44</v>
      </c>
      <c r="B23" t="s">
        <v>32</v>
      </c>
      <c r="C23" t="s">
        <v>22</v>
      </c>
      <c r="D23" t="s">
        <v>23</v>
      </c>
      <c r="E23" t="str">
        <f t="shared" si="0"/>
        <v>/GCA_024447655.1_MSU_CaScop_1.0_genomic.fna</v>
      </c>
      <c r="F23" s="5" t="str">
        <f t="shared" si="4"/>
        <v>GeMoMa GeMoMaPipeline threads=12 GeMoMa.Score=ReAlign AnnotationFinalizer.r=NO o=true t=~/genomes/ncbi_dataset/data/GCA_024447655.1/GCA_024447655.1_MSU_CaScop_1.0_genomic.fna outdir=~/gemoma/Os_Carex_scoparia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3" t="s">
        <v>176</v>
      </c>
      <c r="H23" t="str">
        <f t="shared" si="1"/>
        <v>outdir=~/gemoma/Os_Carex_scoparia</v>
      </c>
      <c r="I23" t="s">
        <v>192</v>
      </c>
      <c r="J23" t="s">
        <v>66</v>
      </c>
      <c r="K23" t="s">
        <v>69</v>
      </c>
      <c r="L23" t="str">
        <f t="shared" si="2"/>
        <v>Carex_scoparia.zip</v>
      </c>
      <c r="M23" t="str">
        <f t="shared" si="3"/>
        <v>datasets download genome accession GCA_024447655.1 --include gff3,rna,cds,protein,genome,seq-report --filename Carex_scoparia.zip</v>
      </c>
    </row>
    <row r="24" spans="1:13" x14ac:dyDescent="0.2">
      <c r="A24" t="s">
        <v>45</v>
      </c>
      <c r="B24" t="s">
        <v>32</v>
      </c>
      <c r="C24" t="s">
        <v>24</v>
      </c>
      <c r="D24" t="s">
        <v>25</v>
      </c>
      <c r="E24" t="str">
        <f t="shared" si="0"/>
        <v>/GCA_025461045.1_ASM2546104v1_genomic.fna</v>
      </c>
      <c r="F24" s="5" t="str">
        <f t="shared" si="4"/>
        <v>GeMoMa GeMoMaPipeline threads=12 GeMoMa.Score=ReAlign AnnotationFinalizer.r=NO o=true t=~/genomes/ncbi_dataset/data/GCA_025461045.1/GCA_025461045.1_ASM2546104v1_genomic.fna outdir=~/gemoma/Os_Carex_parvula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4" t="s">
        <v>176</v>
      </c>
      <c r="H24" t="str">
        <f t="shared" si="1"/>
        <v>outdir=~/gemoma/Os_Carex_parvula</v>
      </c>
      <c r="I24" t="s">
        <v>192</v>
      </c>
      <c r="J24" t="s">
        <v>66</v>
      </c>
      <c r="K24" t="s">
        <v>69</v>
      </c>
      <c r="L24" t="str">
        <f t="shared" si="2"/>
        <v>Carex_parvula.zip</v>
      </c>
      <c r="M24" t="str">
        <f t="shared" si="3"/>
        <v>datasets download genome accession GCA_025461045.1 --include gff3,rna,cds,protein,genome,seq-report --filename Carex_parvula.zip</v>
      </c>
    </row>
    <row r="25" spans="1:13" x14ac:dyDescent="0.2">
      <c r="A25" t="s">
        <v>63</v>
      </c>
      <c r="B25" t="s">
        <v>32</v>
      </c>
      <c r="C25" t="s">
        <v>58</v>
      </c>
      <c r="D25" t="s">
        <v>59</v>
      </c>
      <c r="E25" t="str">
        <f t="shared" si="0"/>
        <v>/GCA_027726005.1_MPIPZ_junEff1m_1_genomic.fna</v>
      </c>
      <c r="F25" s="5" t="str">
        <f t="shared" si="4"/>
        <v>GeMoMa GeMoMaPipeline threads=12 GeMoMa.Score=ReAlign AnnotationFinalizer.r=NO o=true t=~/genomes/ncbi_dataset/data/GCA_027726005.1/GCA_027726005.1_MPIPZ_junEff1m_1_genomic.fna outdir=~/gemoma/Os_Juncus_effusus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5" t="s">
        <v>176</v>
      </c>
      <c r="H25" t="str">
        <f t="shared" si="1"/>
        <v>outdir=~/gemoma/Os_Juncus_effusus</v>
      </c>
      <c r="I25" t="s">
        <v>192</v>
      </c>
      <c r="J25" t="s">
        <v>66</v>
      </c>
      <c r="K25" t="s">
        <v>69</v>
      </c>
      <c r="L25" t="str">
        <f t="shared" si="2"/>
        <v>Juncus_effusus.zip</v>
      </c>
      <c r="M25" t="str">
        <f t="shared" si="3"/>
        <v>datasets download genome accession GCA_027726005.1 --include gff3,rna,cds,protein,genome,seq-report --filename Juncus_effusus.zip</v>
      </c>
    </row>
    <row r="26" spans="1:13" x14ac:dyDescent="0.2">
      <c r="A26" t="s">
        <v>64</v>
      </c>
      <c r="B26" t="s">
        <v>32</v>
      </c>
      <c r="C26" t="s">
        <v>60</v>
      </c>
      <c r="D26" t="s">
        <v>57</v>
      </c>
      <c r="E26" t="str">
        <f t="shared" si="0"/>
        <v>/GCA_946800325.1_lpLuzSylv1.1_genomic.fna</v>
      </c>
      <c r="F26" s="5" t="str">
        <f t="shared" si="4"/>
        <v>GeMoMa GeMoMaPipeline threads=12 GeMoMa.Score=ReAlign AnnotationFinalizer.r=NO o=true t=~/genomes/ncbi_dataset/data/GCA_946800325.1/GCA_946800325.1_lpLuzSylv1.1_genomic.fna outdir=~/gemoma/Os_Luzula_sylvatica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6" t="s">
        <v>176</v>
      </c>
      <c r="H26" t="str">
        <f t="shared" si="1"/>
        <v>outdir=~/gemoma/Os_Luzula_sylvatica</v>
      </c>
      <c r="I26" t="s">
        <v>192</v>
      </c>
      <c r="J26" t="s">
        <v>66</v>
      </c>
      <c r="K26" t="s">
        <v>69</v>
      </c>
      <c r="L26" t="str">
        <f t="shared" si="2"/>
        <v>Luzula_sylvatica.zip</v>
      </c>
      <c r="M26" t="str">
        <f t="shared" si="3"/>
        <v>datasets download genome accession GCA_946800325.1 --include gff3,rna,cds,protein,genome,seq-report --filename Luzula_sylvatica.zip</v>
      </c>
    </row>
    <row r="27" spans="1:13" x14ac:dyDescent="0.2">
      <c r="A27" t="s">
        <v>65</v>
      </c>
      <c r="B27" t="s">
        <v>32</v>
      </c>
      <c r="C27" t="s">
        <v>61</v>
      </c>
      <c r="D27" t="s">
        <v>62</v>
      </c>
      <c r="E27" t="str">
        <f t="shared" si="0"/>
        <v>/GCA_024447665.1_MSU_JuInfl_1.0_genomic.fna</v>
      </c>
      <c r="F27" s="5" t="str">
        <f t="shared" si="4"/>
        <v>GeMoMa GeMoMaPipeline threads=12 GeMoMa.Score=ReAlign AnnotationFinalizer.r=NO o=true t=~/genomes/ncbi_dataset/data/GCA_024447665.1/GCA_024447665.1_MSU_JuInfl_1.0_genomic.fna outdir=~/gemoma/Os_Juncus_inflexus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7" t="s">
        <v>176</v>
      </c>
      <c r="H27" t="str">
        <f t="shared" si="1"/>
        <v>outdir=~/gemoma/Os_Juncus_inflexus</v>
      </c>
      <c r="I27" t="s">
        <v>192</v>
      </c>
      <c r="J27" t="s">
        <v>66</v>
      </c>
      <c r="K27" t="s">
        <v>69</v>
      </c>
      <c r="L27" t="str">
        <f t="shared" si="2"/>
        <v>Juncus_inflexus.zip</v>
      </c>
      <c r="M27" t="str">
        <f t="shared" si="3"/>
        <v>datasets download genome accession GCA_024447665.1 --include gff3,rna,cds,protein,genome,seq-report --filename Juncus_inflexus.zip</v>
      </c>
    </row>
    <row r="28" spans="1:13" x14ac:dyDescent="0.2">
      <c r="A28" t="s">
        <v>138</v>
      </c>
      <c r="B28" t="s">
        <v>32</v>
      </c>
      <c r="C28" t="s">
        <v>115</v>
      </c>
      <c r="D28" t="s">
        <v>98</v>
      </c>
      <c r="E28" t="str">
        <f>CONCATENATE("/",C28,"_",D28,"_","genomic.fna")</f>
        <v>/GCA_002319775.1_Ft1.0_genomic.fna</v>
      </c>
      <c r="F28" s="5" t="str">
        <f>CONCATENATE(B28,C28,E28," ",H28," ",I28)</f>
        <v>GeMoMa GeMoMaPipeline threads=12 GeMoMa.Score=ReAlign AnnotationFinalizer.r=NO o=true t=~/genomes/ncbi_dataset/data/GCA_002319775.1/GCA_002319775.1_Ft1.0_genomic.fna outdir=~/gemoma/Os_Fagopyrum_tataricum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8" t="s">
        <v>176</v>
      </c>
      <c r="H28" t="str">
        <f>CONCATENATE(G28,A28)</f>
        <v>outdir=~/gemoma/Os_Fagopyrum_tataricum</v>
      </c>
      <c r="I28" t="s">
        <v>192</v>
      </c>
      <c r="J28" s="13" t="s">
        <v>66</v>
      </c>
      <c r="K28" t="s">
        <v>69</v>
      </c>
      <c r="L28" t="str">
        <f>CONCATENATE(A28,".zip")</f>
        <v>Fagopyrum_tataricum.zip</v>
      </c>
      <c r="M28" t="str">
        <f>CONCATENATE(J28,C28,K28,L28)</f>
        <v>datasets download genome accession GCA_002319775.1 --include gff3,rna,cds,protein,genome,seq-report --filename Fagopyrum_tataricum.zip</v>
      </c>
    </row>
    <row r="29" spans="1:13" x14ac:dyDescent="0.2">
      <c r="A29" t="s">
        <v>139</v>
      </c>
      <c r="B29" t="s">
        <v>32</v>
      </c>
      <c r="C29" t="s">
        <v>116</v>
      </c>
      <c r="D29" t="s">
        <v>99</v>
      </c>
      <c r="E29" t="str">
        <f t="shared" ref="E29:E39" si="5">CONCATENATE("/",C29,"_",D29,"_","genomic.fna")</f>
        <v>/GCA_023091065.1_ASM2309106v1_genomic.fna</v>
      </c>
      <c r="F29" s="5" t="str">
        <f t="shared" ref="F29:F78" si="6">CONCATENATE(B29,C29,E29," ",H29," ",I29)</f>
        <v>GeMoMa GeMoMaPipeline threads=12 GeMoMa.Score=ReAlign AnnotationFinalizer.r=NO o=true t=~/genomes/ncbi_dataset/data/GCA_023091065.1/GCA_023091065.1_ASM2309106v1_genomic.fna outdir=~/gemoma/Os_Dianthus_caryophyllus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29" t="s">
        <v>176</v>
      </c>
      <c r="H29" t="str">
        <f t="shared" ref="H29:H51" si="7">CONCATENATE(G29,A29)</f>
        <v>outdir=~/gemoma/Os_Dianthus_caryophyllus</v>
      </c>
      <c r="I29" t="s">
        <v>192</v>
      </c>
      <c r="J29" s="13" t="s">
        <v>66</v>
      </c>
      <c r="K29" t="s">
        <v>69</v>
      </c>
      <c r="L29" t="str">
        <f t="shared" ref="L29:L51" si="8">CONCATENATE(A29,".zip")</f>
        <v>Dianthus_caryophyllus.zip</v>
      </c>
      <c r="M29" t="str">
        <f t="shared" ref="M29:M51" si="9">CONCATENATE(J29,C29,K29,L29)</f>
        <v>datasets download genome accession GCA_023091065.1 --include gff3,rna,cds,protein,genome,seq-report --filename Dianthus_caryophyllus.zip</v>
      </c>
    </row>
    <row r="30" spans="1:13" x14ac:dyDescent="0.2">
      <c r="A30" t="s">
        <v>140</v>
      </c>
      <c r="B30" t="s">
        <v>32</v>
      </c>
      <c r="C30" t="s">
        <v>117</v>
      </c>
      <c r="D30" t="s">
        <v>100</v>
      </c>
      <c r="E30" t="str">
        <f t="shared" si="5"/>
        <v>/GCF_026212465.1_ASM2621246v1_genomic.fna</v>
      </c>
      <c r="F30" s="5" t="str">
        <f t="shared" si="6"/>
        <v>GeMoMa GeMoMaPipeline threads=12 GeMoMa.Score=ReAlign AnnotationFinalizer.r=NO o=true t=~/genomes/ncbi_dataset/data/GCF_026212465.1/GCF_026212465.1_ASM2621246v1_genomic.fna outdir=~/gemoma/Os_Amaranthus_tricolor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0" t="s">
        <v>176</v>
      </c>
      <c r="H30" t="str">
        <f t="shared" si="7"/>
        <v>outdir=~/gemoma/Os_Amaranthus_tricolor</v>
      </c>
      <c r="I30" t="s">
        <v>192</v>
      </c>
      <c r="J30" s="13" t="s">
        <v>66</v>
      </c>
      <c r="K30" t="s">
        <v>69</v>
      </c>
      <c r="L30" t="str">
        <f t="shared" si="8"/>
        <v>Amaranthus_tricolor.zip</v>
      </c>
      <c r="M30" t="str">
        <f t="shared" si="9"/>
        <v>datasets download genome accession GCF_026212465.1 --include gff3,rna,cds,protein,genome,seq-report --filename Amaranthus_tricolor.zip</v>
      </c>
    </row>
    <row r="31" spans="1:13" x14ac:dyDescent="0.2">
      <c r="A31" t="s">
        <v>141</v>
      </c>
      <c r="B31" t="s">
        <v>32</v>
      </c>
      <c r="C31" t="s">
        <v>118</v>
      </c>
      <c r="D31" t="s">
        <v>101</v>
      </c>
      <c r="E31" t="str">
        <f t="shared" si="5"/>
        <v>/GCA_029255685.2_ASM2925568v2_genomic.fna</v>
      </c>
      <c r="F31" s="5" t="str">
        <f t="shared" si="6"/>
        <v>GeMoMa GeMoMaPipeline threads=12 GeMoMa.Score=ReAlign AnnotationFinalizer.r=NO o=true t=~/genomes/ncbi_dataset/data/GCA_029255685.2/GCA_029255685.2_ASM2925568v2_genomic.fna outdir=~/gemoma/Os_Silene_conica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1" t="s">
        <v>176</v>
      </c>
      <c r="H31" t="str">
        <f t="shared" si="7"/>
        <v>outdir=~/gemoma/Os_Silene_conica</v>
      </c>
      <c r="I31" t="s">
        <v>192</v>
      </c>
      <c r="J31" s="13" t="s">
        <v>66</v>
      </c>
      <c r="K31" t="s">
        <v>69</v>
      </c>
      <c r="L31" t="str">
        <f t="shared" si="8"/>
        <v>Silene_conica.zip</v>
      </c>
      <c r="M31" t="str">
        <f t="shared" si="9"/>
        <v>datasets download genome accession GCA_029255685.2 --include gff3,rna,cds,protein,genome,seq-report --filename Silene_conica.zip</v>
      </c>
    </row>
    <row r="32" spans="1:13" x14ac:dyDescent="0.2">
      <c r="A32" t="s">
        <v>142</v>
      </c>
      <c r="B32" t="s">
        <v>32</v>
      </c>
      <c r="C32" t="s">
        <v>119</v>
      </c>
      <c r="D32" t="s">
        <v>102</v>
      </c>
      <c r="E32" t="str">
        <f t="shared" si="5"/>
        <v>/GCA_958450325.1_dcAgrGith1.1_genomic.fna</v>
      </c>
      <c r="F32" s="5" t="str">
        <f t="shared" si="6"/>
        <v>GeMoMa GeMoMaPipeline threads=12 GeMoMa.Score=ReAlign AnnotationFinalizer.r=NO o=true t=~/genomes/ncbi_dataset/data/GCA_958450325.1/GCA_958450325.1_dcAgrGith1.1_genomic.fna outdir=~/gemoma/Os_Agrostemma_githago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2" t="s">
        <v>176</v>
      </c>
      <c r="H32" t="str">
        <f t="shared" si="7"/>
        <v>outdir=~/gemoma/Os_Agrostemma_githago</v>
      </c>
      <c r="I32" t="s">
        <v>192</v>
      </c>
      <c r="J32" s="13" t="s">
        <v>66</v>
      </c>
      <c r="K32" t="s">
        <v>69</v>
      </c>
      <c r="L32" t="str">
        <f t="shared" si="8"/>
        <v>Agrostemma_githago.zip</v>
      </c>
      <c r="M32" t="str">
        <f t="shared" si="9"/>
        <v>datasets download genome accession GCA_958450325.1 --include gff3,rna,cds,protein,genome,seq-report --filename Agrostemma_githago.zip</v>
      </c>
    </row>
    <row r="33" spans="1:15" x14ac:dyDescent="0.2">
      <c r="A33" t="s">
        <v>143</v>
      </c>
      <c r="B33" t="s">
        <v>32</v>
      </c>
      <c r="C33" t="s">
        <v>120</v>
      </c>
      <c r="D33" t="s">
        <v>103</v>
      </c>
      <c r="E33" t="str">
        <f t="shared" si="5"/>
        <v>/GCA_934048045.1_dcPolAvic1.1_genomic.fna</v>
      </c>
      <c r="F33" s="5" t="str">
        <f t="shared" si="6"/>
        <v>GeMoMa GeMoMaPipeline threads=12 GeMoMa.Score=ReAlign AnnotationFinalizer.r=NO o=true t=~/genomes/ncbi_dataset/data/GCA_934048045.1/GCA_934048045.1_dcPolAvic1.1_genomic.fna outdir=~/gemoma/Os_Polygonum_aviculare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3" t="s">
        <v>176</v>
      </c>
      <c r="H33" t="str">
        <f t="shared" si="7"/>
        <v>outdir=~/gemoma/Os_Polygonum_aviculare</v>
      </c>
      <c r="I33" t="s">
        <v>192</v>
      </c>
      <c r="J33" s="13" t="s">
        <v>66</v>
      </c>
      <c r="K33" t="s">
        <v>69</v>
      </c>
      <c r="L33" t="str">
        <f t="shared" si="8"/>
        <v>Polygonum_aviculare.zip</v>
      </c>
      <c r="M33" t="str">
        <f t="shared" si="9"/>
        <v>datasets download genome accession GCA_934048045.1 --include gff3,rna,cds,protein,genome,seq-report --filename Polygonum_aviculare.zip</v>
      </c>
    </row>
    <row r="34" spans="1:15" x14ac:dyDescent="0.2">
      <c r="A34" t="s">
        <v>144</v>
      </c>
      <c r="B34" t="s">
        <v>32</v>
      </c>
      <c r="C34" t="s">
        <v>121</v>
      </c>
      <c r="D34" t="s">
        <v>104</v>
      </c>
      <c r="E34" t="str">
        <f t="shared" si="5"/>
        <v>/GCA_963457585.1_dcSpeBocc1.1_genomic.fna</v>
      </c>
      <c r="F34" s="5" t="str">
        <f t="shared" si="6"/>
        <v>GeMoMa GeMoMaPipeline threads=12 GeMoMa.Score=ReAlign AnnotationFinalizer.r=NO o=true t=~/genomes/ncbi_dataset/data/GCA_963457585.1/GCA_963457585.1_dcSpeBocc1.1_genomic.fna outdir=~/gemoma/Os_Spergularia_bocconei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4" t="s">
        <v>176</v>
      </c>
      <c r="H34" t="str">
        <f t="shared" si="7"/>
        <v>outdir=~/gemoma/Os_Spergularia_bocconei</v>
      </c>
      <c r="I34" t="s">
        <v>192</v>
      </c>
      <c r="J34" s="13" t="s">
        <v>66</v>
      </c>
      <c r="K34" t="s">
        <v>69</v>
      </c>
      <c r="L34" t="str">
        <f t="shared" si="8"/>
        <v>Spergularia_bocconei.zip</v>
      </c>
      <c r="M34" t="str">
        <f t="shared" si="9"/>
        <v>datasets download genome accession GCA_963457585.1 --include gff3,rna,cds,protein,genome,seq-report --filename Spergularia_bocconei.zip</v>
      </c>
    </row>
    <row r="35" spans="1:15" x14ac:dyDescent="0.2">
      <c r="A35" t="s">
        <v>145</v>
      </c>
      <c r="B35" t="s">
        <v>32</v>
      </c>
      <c r="C35" t="s">
        <v>122</v>
      </c>
      <c r="D35" t="s">
        <v>105</v>
      </c>
      <c r="E35" t="str">
        <f t="shared" si="5"/>
        <v>/GCF_001683475.1_ASM168347v1_genomic.fna</v>
      </c>
      <c r="F35" s="5" t="str">
        <f t="shared" si="6"/>
        <v>GeMoMa GeMoMaPipeline threads=12 GeMoMa.Score=ReAlign AnnotationFinalizer.r=NO o=true t=~/genomes/ncbi_dataset/data/GCF_001683475.1/GCF_001683475.1_ASM168347v1_genomic.fna outdir=~/gemoma/Os_Chenopodium_quinoa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5" t="s">
        <v>176</v>
      </c>
      <c r="H35" t="str">
        <f t="shared" si="7"/>
        <v>outdir=~/gemoma/Os_Chenopodium_quinoa</v>
      </c>
      <c r="I35" t="s">
        <v>192</v>
      </c>
      <c r="J35" s="13" t="s">
        <v>66</v>
      </c>
      <c r="K35" t="s">
        <v>69</v>
      </c>
      <c r="L35" t="str">
        <f t="shared" si="8"/>
        <v>Chenopodium_quinoa.zip</v>
      </c>
      <c r="M35" t="str">
        <f t="shared" si="9"/>
        <v>datasets download genome accession GCF_001683475.1 --include gff3,rna,cds,protein,genome,seq-report --filename Chenopodium_quinoa.zip</v>
      </c>
    </row>
    <row r="36" spans="1:15" x14ac:dyDescent="0.2">
      <c r="A36" t="s">
        <v>146</v>
      </c>
      <c r="B36" t="s">
        <v>32</v>
      </c>
      <c r="C36" t="s">
        <v>123</v>
      </c>
      <c r="D36" t="s">
        <v>106</v>
      </c>
      <c r="E36" t="str">
        <f t="shared" si="5"/>
        <v>/GCA_001412135.1_ASM141213v1_genomic.fna</v>
      </c>
      <c r="F36" s="5" t="str">
        <f t="shared" si="6"/>
        <v>GeMoMa GeMoMaPipeline threads=12 GeMoMa.Score=ReAlign AnnotationFinalizer.r=NO o=true t=~/genomes/ncbi_dataset/data/GCA_001412135.1/GCA_001412135.1_ASM141213v1_genomic.fna outdir=~/gemoma/Os_Silene_latifolia_subsp._alba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6" t="s">
        <v>176</v>
      </c>
      <c r="H36" t="str">
        <f t="shared" si="7"/>
        <v>outdir=~/gemoma/Os_Silene_latifolia_subsp._alba</v>
      </c>
      <c r="I36" t="s">
        <v>192</v>
      </c>
      <c r="J36" s="13" t="s">
        <v>66</v>
      </c>
      <c r="K36" t="s">
        <v>69</v>
      </c>
      <c r="L36" t="str">
        <f t="shared" si="8"/>
        <v>Silene_latifolia_subsp._alba.zip</v>
      </c>
      <c r="M36" t="str">
        <f t="shared" si="9"/>
        <v>datasets download genome accession GCA_001412135.1 --include gff3,rna,cds,protein,genome,seq-report --filename Silene_latifolia_subsp._alba.zip</v>
      </c>
    </row>
    <row r="37" spans="1:15" x14ac:dyDescent="0.2">
      <c r="A37" t="s">
        <v>147</v>
      </c>
      <c r="B37" t="s">
        <v>32</v>
      </c>
      <c r="C37" t="s">
        <v>124</v>
      </c>
      <c r="D37" t="s">
        <v>107</v>
      </c>
      <c r="E37" t="str">
        <f t="shared" si="5"/>
        <v>/GCA_029990575.1_ASM2999057v1_genomic.fna</v>
      </c>
      <c r="F37" s="5" t="str">
        <f t="shared" si="6"/>
        <v>GeMoMa GeMoMaPipeline threads=12 GeMoMa.Score=ReAlign AnnotationFinalizer.r=NO o=true t=~/genomes/ncbi_dataset/data/GCA_029990575.1/GCA_029990575.1_ASM2999057v1_genomic.fna outdir=~/gemoma/Os_Petunia_axillaris_subsp._axillaris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7" t="s">
        <v>176</v>
      </c>
      <c r="H37" t="str">
        <f t="shared" si="7"/>
        <v>outdir=~/gemoma/Os_Petunia_axillaris_subsp._axillaris</v>
      </c>
      <c r="I37" t="s">
        <v>192</v>
      </c>
      <c r="J37" s="13" t="s">
        <v>66</v>
      </c>
      <c r="K37" t="s">
        <v>69</v>
      </c>
      <c r="L37" t="str">
        <f t="shared" si="8"/>
        <v>Petunia_axillaris_subsp._axillaris.zip</v>
      </c>
      <c r="M37" t="str">
        <f t="shared" si="9"/>
        <v>datasets download genome accession GCA_029990575.1 --include gff3,rna,cds,protein,genome,seq-report --filename Petunia_axillaris_subsp._axillaris.zip</v>
      </c>
    </row>
    <row r="38" spans="1:15" x14ac:dyDescent="0.2">
      <c r="A38" t="s">
        <v>148</v>
      </c>
      <c r="B38" t="s">
        <v>32</v>
      </c>
      <c r="C38" t="s">
        <v>125</v>
      </c>
      <c r="D38" t="s">
        <v>126</v>
      </c>
      <c r="E38" t="str">
        <f t="shared" si="5"/>
        <v>/GCA_029990175.1_Psec_v2_Bern_genomic.fna</v>
      </c>
      <c r="F38" s="5" t="str">
        <f t="shared" si="6"/>
        <v>GeMoMa GeMoMaPipeline threads=12 GeMoMa.Score=ReAlign AnnotationFinalizer.r=NO o=true t=~/genomes/ncbi_dataset/data/GCA_029990175.1/GCA_029990175.1_Psec_v2_Bern_genomic.fna outdir=~/gemoma/Os_Petunia_secreta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8" t="s">
        <v>176</v>
      </c>
      <c r="H38" t="str">
        <f t="shared" si="7"/>
        <v>outdir=~/gemoma/Os_Petunia_secreta</v>
      </c>
      <c r="I38" t="s">
        <v>192</v>
      </c>
      <c r="J38" s="13" t="s">
        <v>66</v>
      </c>
      <c r="K38" t="s">
        <v>69</v>
      </c>
      <c r="L38" t="str">
        <f t="shared" si="8"/>
        <v>Petunia_secreta.zip</v>
      </c>
      <c r="M38" t="str">
        <f t="shared" si="9"/>
        <v>datasets download genome accession GCA_029990175.1 --include gff3,rna,cds,protein,genome,seq-report --filename Petunia_secreta.zip</v>
      </c>
    </row>
    <row r="39" spans="1:15" s="6" customFormat="1" x14ac:dyDescent="0.2">
      <c r="A39" t="s">
        <v>149</v>
      </c>
      <c r="B39" t="s">
        <v>32</v>
      </c>
      <c r="C39" t="s">
        <v>127</v>
      </c>
      <c r="D39" t="s">
        <v>108</v>
      </c>
      <c r="E39" t="str">
        <f t="shared" si="5"/>
        <v>/GCA_032274805.1_ASM3227480v1_genomic.fna</v>
      </c>
      <c r="F39" s="5" t="str">
        <f t="shared" si="6"/>
        <v>GeMoMa GeMoMaPipeline threads=12 GeMoMa.Score=ReAlign AnnotationFinalizer.r=NO o=true t=~/genomes/ncbi_dataset/data/GCA_032274805.1/GCA_032274805.1_ASM3227480v1_genomic.fna outdir=~/gemoma/Os_Gypsophila_paniculata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39" t="s">
        <v>176</v>
      </c>
      <c r="H39" t="str">
        <f t="shared" si="7"/>
        <v>outdir=~/gemoma/Os_Gypsophila_paniculata</v>
      </c>
      <c r="I39" t="s">
        <v>192</v>
      </c>
      <c r="J39" s="13" t="s">
        <v>66</v>
      </c>
      <c r="K39" t="s">
        <v>69</v>
      </c>
      <c r="L39" t="str">
        <f t="shared" si="8"/>
        <v>Gypsophila_paniculata.zip</v>
      </c>
      <c r="M39" t="str">
        <f t="shared" si="9"/>
        <v>datasets download genome accession GCA_032274805.1 --include gff3,rna,cds,protein,genome,seq-report --filename Gypsophila_paniculata.zip</v>
      </c>
      <c r="N39"/>
      <c r="O39"/>
    </row>
    <row r="40" spans="1:15" x14ac:dyDescent="0.2">
      <c r="A40" t="s">
        <v>150</v>
      </c>
      <c r="B40" t="s">
        <v>32</v>
      </c>
      <c r="C40" t="s">
        <v>128</v>
      </c>
      <c r="D40" t="s">
        <v>109</v>
      </c>
      <c r="E40" t="str">
        <f>CONCATENATE("/",C40,"_",D40,"_","genomic.fna")</f>
        <v>/GCA_009801015.1_ASM980101v1_genomic.fna</v>
      </c>
      <c r="F40" s="5" t="str">
        <f t="shared" si="6"/>
        <v>GeMoMa GeMoMaPipeline threads=12 GeMoMa.Score=ReAlign AnnotationFinalizer.r=NO o=true t=~/genomes/ncbi_dataset/data/GCA_009801015.1/GCA_009801015.1_ASM980101v1_genomic.fna outdir=~/gemoma/Os_Silene_noctiflora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0" t="s">
        <v>176</v>
      </c>
      <c r="H40" t="str">
        <f t="shared" si="7"/>
        <v>outdir=~/gemoma/Os_Silene_noctiflora</v>
      </c>
      <c r="I40" t="s">
        <v>192</v>
      </c>
      <c r="J40" s="13" t="s">
        <v>66</v>
      </c>
      <c r="K40" t="s">
        <v>69</v>
      </c>
      <c r="L40" t="str">
        <f t="shared" si="8"/>
        <v>Silene_noctiflora.zip</v>
      </c>
      <c r="M40" t="str">
        <f t="shared" si="9"/>
        <v>datasets download genome accession GCA_009801015.1 --include gff3,rna,cds,protein,genome,seq-report --filename Silene_noctiflora.zip</v>
      </c>
    </row>
    <row r="41" spans="1:15" s="4" customFormat="1" x14ac:dyDescent="0.2">
      <c r="A41" t="s">
        <v>151</v>
      </c>
      <c r="B41" t="s">
        <v>32</v>
      </c>
      <c r="C41" t="s">
        <v>129</v>
      </c>
      <c r="D41" t="s">
        <v>110</v>
      </c>
      <c r="E41" t="str">
        <f t="shared" ref="E41:E42" si="10">CONCATENATE("/",C41,"_",D41,"_","genomic.fna")</f>
        <v>/GCA_001925005.1_ASM192500v1_genomic.fna</v>
      </c>
      <c r="F41" s="5" t="str">
        <f t="shared" si="6"/>
        <v>GeMoMa GeMoMaPipeline threads=12 GeMoMa.Score=ReAlign AnnotationFinalizer.r=NO o=true t=~/genomes/ncbi_dataset/data/GCA_001925005.1/GCA_001925005.1_ASM192500v1_genomic.fna outdir=~/gemoma/Os_Drosera_capensis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1" t="s">
        <v>176</v>
      </c>
      <c r="H41" t="str">
        <f t="shared" si="7"/>
        <v>outdir=~/gemoma/Os_Drosera_capensis</v>
      </c>
      <c r="I41" t="s">
        <v>192</v>
      </c>
      <c r="J41" s="13" t="s">
        <v>66</v>
      </c>
      <c r="K41" t="s">
        <v>69</v>
      </c>
      <c r="L41" t="str">
        <f t="shared" si="8"/>
        <v>Drosera_capensis.zip</v>
      </c>
      <c r="M41" t="str">
        <f t="shared" si="9"/>
        <v>datasets download genome accession GCA_001925005.1 --include gff3,rna,cds,protein,genome,seq-report --filename Drosera_capensis.zip</v>
      </c>
      <c r="N41"/>
      <c r="O41"/>
    </row>
    <row r="42" spans="1:15" x14ac:dyDescent="0.2">
      <c r="A42" t="s">
        <v>152</v>
      </c>
      <c r="B42" t="s">
        <v>32</v>
      </c>
      <c r="C42" t="s">
        <v>130</v>
      </c>
      <c r="D42" t="s">
        <v>111</v>
      </c>
      <c r="E42" t="str">
        <f t="shared" si="10"/>
        <v>/GCA_018983105.1_ASM1898310v1_genomic.fna</v>
      </c>
      <c r="F42" s="5" t="str">
        <f t="shared" si="6"/>
        <v>GeMoMa GeMoMaPipeline threads=12 GeMoMa.Score=ReAlign AnnotationFinalizer.r=NO o=true t=~/genomes/ncbi_dataset/data/GCA_018983105.1/GCA_018983105.1_ASM1898310v1_genomic.fna outdir=~/gemoma/Os_Silene_uniflora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2" t="s">
        <v>176</v>
      </c>
      <c r="H42" t="str">
        <f t="shared" si="7"/>
        <v>outdir=~/gemoma/Os_Silene_uniflora</v>
      </c>
      <c r="I42" t="s">
        <v>192</v>
      </c>
      <c r="J42" s="13" t="s">
        <v>66</v>
      </c>
      <c r="K42" t="s">
        <v>69</v>
      </c>
      <c r="L42" t="str">
        <f t="shared" si="8"/>
        <v>Silene_uniflora.zip</v>
      </c>
      <c r="M42" t="str">
        <f t="shared" si="9"/>
        <v>datasets download genome accession GCA_018983105.1 --include gff3,rna,cds,protein,genome,seq-report --filename Silene_uniflora.zip</v>
      </c>
    </row>
    <row r="43" spans="1:15" x14ac:dyDescent="0.2">
      <c r="A43" t="s">
        <v>153</v>
      </c>
      <c r="B43" t="s">
        <v>32</v>
      </c>
      <c r="C43" t="s">
        <v>131</v>
      </c>
      <c r="D43" t="s">
        <v>132</v>
      </c>
      <c r="E43" t="str">
        <f>CONCATENATE("/",C43,"_",D43,"_","genomic.fna")</f>
        <v>/GCA_029747015.1_UA_SGP5p_2_genomic.fna</v>
      </c>
      <c r="F43" s="5" t="str">
        <f t="shared" si="6"/>
        <v>GeMoMa GeMoMaPipeline threads=12 GeMoMa.Score=ReAlign AnnotationFinalizer.r=NO o=true t=~/genomes/ncbi_dataset/data/GCA_029747015.1/GCA_029747015.1_UA_SGP5p_2_genomic.fna outdir=~/gemoma/Os_Carnegiea_gigantea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3" t="s">
        <v>176</v>
      </c>
      <c r="H43" t="str">
        <f t="shared" si="7"/>
        <v>outdir=~/gemoma/Os_Carnegiea_gigantea</v>
      </c>
      <c r="I43" t="s">
        <v>192</v>
      </c>
      <c r="J43" s="13" t="s">
        <v>66</v>
      </c>
      <c r="K43" t="s">
        <v>69</v>
      </c>
      <c r="L43" t="str">
        <f t="shared" si="8"/>
        <v>Carnegiea_gigantea.zip</v>
      </c>
      <c r="M43" t="str">
        <f t="shared" si="9"/>
        <v>datasets download genome accession GCA_029747015.1 --include gff3,rna,cds,protein,genome,seq-report --filename Carnegiea_gigantea.zip</v>
      </c>
    </row>
    <row r="44" spans="1:15" x14ac:dyDescent="0.2">
      <c r="A44" t="s">
        <v>154</v>
      </c>
      <c r="B44" t="s">
        <v>32</v>
      </c>
      <c r="C44" t="s">
        <v>133</v>
      </c>
      <c r="D44" t="s">
        <v>112</v>
      </c>
      <c r="E44" t="str">
        <f>CONCATENATE("/",C44,"_",D44,"_","genomic.fna")</f>
        <v>/GCA_022085475.1_ASM2208547v1_genomic.fna</v>
      </c>
      <c r="F44" s="5" t="str">
        <f t="shared" si="6"/>
        <v>GeMoMa GeMoMaPipeline threads=12 GeMoMa.Score=ReAlign AnnotationFinalizer.r=NO o=true t=~/genomes/ncbi_dataset/data/GCA_022085475.1/GCA_022085475.1_ASM2208547v1_genomic.fna outdir=~/gemoma/Os_Heliosperma_pusillum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4" t="s">
        <v>176</v>
      </c>
      <c r="H44" t="str">
        <f t="shared" si="7"/>
        <v>outdir=~/gemoma/Os_Heliosperma_pusillum</v>
      </c>
      <c r="I44" t="s">
        <v>192</v>
      </c>
      <c r="J44" s="13" t="s">
        <v>66</v>
      </c>
      <c r="K44" t="s">
        <v>69</v>
      </c>
      <c r="L44" t="str">
        <f t="shared" si="8"/>
        <v>Heliosperma_pusillum.zip</v>
      </c>
      <c r="M44" t="str">
        <f t="shared" si="9"/>
        <v>datasets download genome accession GCA_022085475.1 --include gff3,rna,cds,protein,genome,seq-report --filename Heliosperma_pusillum.zip</v>
      </c>
    </row>
    <row r="45" spans="1:15" x14ac:dyDescent="0.2">
      <c r="A45" t="s">
        <v>155</v>
      </c>
      <c r="B45" t="s">
        <v>32</v>
      </c>
      <c r="C45" t="s">
        <v>134</v>
      </c>
      <c r="D45" t="s">
        <v>113</v>
      </c>
      <c r="E45" t="str">
        <f t="shared" ref="E45:E46" si="11">CONCATENATE("/",C45,"_",D45,"_","genomic.fna")</f>
        <v>/GCA_028566215.1_ASM2856621v1_genomic.fna</v>
      </c>
      <c r="F45" s="5" t="str">
        <f t="shared" si="6"/>
        <v>GeMoMa GeMoMaPipeline threads=12 GeMoMa.Score=ReAlign AnnotationFinalizer.r=NO o=true t=~/genomes/ncbi_dataset/data/GCA_028566215.1/GCA_028566215.1_ASM2856621v1_genomic.fna outdir=~/gemoma/Os_Silene_coronaria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5" t="s">
        <v>176</v>
      </c>
      <c r="H45" t="str">
        <f t="shared" si="7"/>
        <v>outdir=~/gemoma/Os_Silene_coronaria</v>
      </c>
      <c r="I45" t="s">
        <v>192</v>
      </c>
      <c r="J45" s="13" t="s">
        <v>66</v>
      </c>
      <c r="K45" t="s">
        <v>69</v>
      </c>
      <c r="L45" t="str">
        <f t="shared" si="8"/>
        <v>Silene_coronaria.zip</v>
      </c>
      <c r="M45" t="str">
        <f t="shared" si="9"/>
        <v>datasets download genome accession GCA_028566215.1 --include gff3,rna,cds,protein,genome,seq-report --filename Silene_coronaria.zip</v>
      </c>
    </row>
    <row r="46" spans="1:15" x14ac:dyDescent="0.2">
      <c r="A46" t="s">
        <v>156</v>
      </c>
      <c r="B46" t="s">
        <v>32</v>
      </c>
      <c r="C46" t="s">
        <v>136</v>
      </c>
      <c r="D46" t="s">
        <v>135</v>
      </c>
      <c r="E46" t="str">
        <f t="shared" si="11"/>
        <v>/GCF_002917755.1_EL10_1.0_genomic.fna</v>
      </c>
      <c r="F46" s="5" t="str">
        <f t="shared" si="6"/>
        <v>GeMoMa GeMoMaPipeline threads=12 GeMoMa.Score=ReAlign AnnotationFinalizer.r=NO o=true t=~/genomes/ncbi_dataset/data/GCF_002917755.1/GCF_002917755.1_EL10_1.0_genomic.fna outdir=~/gemoma/Os_Beta_vulgaris_subsp._vulgaris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6" t="s">
        <v>176</v>
      </c>
      <c r="H46" t="str">
        <f t="shared" si="7"/>
        <v>outdir=~/gemoma/Os_Beta_vulgaris_subsp._vulgaris</v>
      </c>
      <c r="I46" t="s">
        <v>192</v>
      </c>
      <c r="J46" s="13" t="s">
        <v>66</v>
      </c>
      <c r="K46" t="s">
        <v>69</v>
      </c>
      <c r="L46" t="str">
        <f t="shared" si="8"/>
        <v>Beta_vulgaris_subsp._vulgaris.zip</v>
      </c>
      <c r="M46" t="str">
        <f t="shared" si="9"/>
        <v>datasets download genome accession GCF_002917755.1 --include gff3,rna,cds,protein,genome,seq-report --filename Beta_vulgaris_subsp._vulgaris.zip</v>
      </c>
    </row>
    <row r="47" spans="1:15" x14ac:dyDescent="0.2">
      <c r="A47" t="s">
        <v>157</v>
      </c>
      <c r="B47" t="s">
        <v>32</v>
      </c>
      <c r="C47" t="s">
        <v>137</v>
      </c>
      <c r="D47" t="s">
        <v>114</v>
      </c>
      <c r="E47" t="str">
        <f>CONCATENATE("/",C47,"_",D47,"_","genomic.fna")</f>
        <v>/GCF_002007265.1_ASM200726v1_genomic.fna</v>
      </c>
      <c r="F47" s="5" t="str">
        <f t="shared" si="6"/>
        <v>GeMoMa GeMoMaPipeline threads=12 GeMoMa.Score=ReAlign AnnotationFinalizer.r=NO o=true t=~/genomes/ncbi_dataset/data/GCF_002007265.1/GCF_002007265.1_ASM200726v1_genomic.fna outdir=~/gemoma/Os_Spinacia_oleracea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7" t="s">
        <v>176</v>
      </c>
      <c r="H47" t="str">
        <f t="shared" si="7"/>
        <v>outdir=~/gemoma/Os_Spinacia_oleracea</v>
      </c>
      <c r="I47" t="s">
        <v>192</v>
      </c>
      <c r="J47" t="s">
        <v>66</v>
      </c>
      <c r="K47" t="s">
        <v>69</v>
      </c>
      <c r="L47" t="str">
        <f t="shared" si="8"/>
        <v>Spinacia_oleracea.zip</v>
      </c>
      <c r="M47" t="str">
        <f t="shared" si="9"/>
        <v>datasets download genome accession GCF_002007265.1 --include gff3,rna,cds,protein,genome,seq-report --filename Spinacia_oleracea.zip</v>
      </c>
    </row>
    <row r="48" spans="1:15" x14ac:dyDescent="0.2">
      <c r="A48" t="s">
        <v>172</v>
      </c>
      <c r="B48" t="s">
        <v>32</v>
      </c>
      <c r="C48" t="s">
        <v>164</v>
      </c>
      <c r="D48" t="s">
        <v>165</v>
      </c>
      <c r="E48" t="str">
        <f t="shared" ref="E48:E78" si="12">CONCATENATE("/",C48,"_",D48,"_","genomic.fna")</f>
        <v>/GCA_026545225.1_ASM2654522v1_genomic.fna</v>
      </c>
      <c r="F48" s="5" t="str">
        <f t="shared" si="6"/>
        <v>GeMoMa GeMoMaPipeline threads=12 GeMoMa.Score=ReAlign AnnotationFinalizer.r=NO o=true t=~/genomes/ncbi_dataset/data/GCA_026545225.1/GCA_026545225.1_ASM2654522v1_genomic.fna outdir=~/gemoma/Os_Cornus_controversa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8" t="s">
        <v>176</v>
      </c>
      <c r="H48" t="str">
        <f t="shared" si="7"/>
        <v>outdir=~/gemoma/Os_Cornus_controversa</v>
      </c>
      <c r="I48" t="s">
        <v>192</v>
      </c>
      <c r="J48" s="13" t="s">
        <v>66</v>
      </c>
      <c r="K48" t="s">
        <v>69</v>
      </c>
      <c r="L48" t="str">
        <f t="shared" si="8"/>
        <v>Cornus_controversa.zip</v>
      </c>
      <c r="M48" t="str">
        <f t="shared" si="9"/>
        <v>datasets download genome accession GCA_026545225.1 --include gff3,rna,cds,protein,genome,seq-report --filename Cornus_controversa.zip</v>
      </c>
    </row>
    <row r="49" spans="1:13" x14ac:dyDescent="0.2">
      <c r="A49" t="s">
        <v>173</v>
      </c>
      <c r="B49" t="s">
        <v>32</v>
      </c>
      <c r="C49" t="s">
        <v>166</v>
      </c>
      <c r="D49" t="s">
        <v>167</v>
      </c>
      <c r="E49" t="str">
        <f t="shared" si="12"/>
        <v>/GCA_008638375.1_ASM863837v1_genomic.fna</v>
      </c>
      <c r="F49" s="5" t="str">
        <f t="shared" si="6"/>
        <v>GeMoMa GeMoMaPipeline threads=12 GeMoMa.Score=ReAlign AnnotationFinalizer.r=NO o=true t=~/genomes/ncbi_dataset/data/GCA_008638375.1/GCA_008638375.1_ASM863837v1_genomic.fna outdir=~/gemoma/Os_Nyssa_sinensis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49" t="s">
        <v>176</v>
      </c>
      <c r="H49" t="str">
        <f t="shared" si="7"/>
        <v>outdir=~/gemoma/Os_Nyssa_sinensis</v>
      </c>
      <c r="I49" t="s">
        <v>192</v>
      </c>
      <c r="J49" s="13" t="s">
        <v>66</v>
      </c>
      <c r="K49" t="s">
        <v>69</v>
      </c>
      <c r="L49" t="str">
        <f t="shared" si="8"/>
        <v>Nyssa_sinensis.zip</v>
      </c>
      <c r="M49" t="str">
        <f t="shared" si="9"/>
        <v>datasets download genome accession GCA_008638375.1 --include gff3,rna,cds,protein,genome,seq-report --filename Nyssa_sinensis.zip</v>
      </c>
    </row>
    <row r="50" spans="1:13" x14ac:dyDescent="0.2">
      <c r="A50" t="s">
        <v>174</v>
      </c>
      <c r="B50" t="s">
        <v>32</v>
      </c>
      <c r="C50" t="s">
        <v>168</v>
      </c>
      <c r="D50" t="s">
        <v>169</v>
      </c>
      <c r="E50" t="str">
        <f t="shared" si="12"/>
        <v>/GCA_013391885.1_HMA_r1.2_0_genomic.fna</v>
      </c>
      <c r="F50" s="5" t="str">
        <f t="shared" si="6"/>
        <v>GeMoMa GeMoMaPipeline threads=12 GeMoMa.Score=ReAlign AnnotationFinalizer.r=NO o=true t=~/genomes/ncbi_dataset/data/GCA_013391885.1/GCA_013391885.1_HMA_r1.2_0_genomic.fna outdir=~/gemoma/Os_Hydrangea_macrophylla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0" t="s">
        <v>176</v>
      </c>
      <c r="H50" t="str">
        <f t="shared" si="7"/>
        <v>outdir=~/gemoma/Os_Hydrangea_macrophylla</v>
      </c>
      <c r="I50" t="s">
        <v>192</v>
      </c>
      <c r="J50" s="13" t="s">
        <v>66</v>
      </c>
      <c r="K50" t="s">
        <v>69</v>
      </c>
      <c r="L50" t="str">
        <f t="shared" si="8"/>
        <v>Hydrangea_macrophylla.zip</v>
      </c>
      <c r="M50" t="str">
        <f t="shared" si="9"/>
        <v>datasets download genome accession GCA_013391885.1 --include gff3,rna,cds,protein,genome,seq-report --filename Hydrangea_macrophylla.zip</v>
      </c>
    </row>
    <row r="51" spans="1:13" x14ac:dyDescent="0.2">
      <c r="A51" t="s">
        <v>175</v>
      </c>
      <c r="B51" t="s">
        <v>32</v>
      </c>
      <c r="C51" t="s">
        <v>171</v>
      </c>
      <c r="D51" t="s">
        <v>170</v>
      </c>
      <c r="E51" t="str">
        <f t="shared" si="12"/>
        <v>/GCF_030987335.1_ASM3098733v1_genomic.fna</v>
      </c>
      <c r="F51" s="5" t="str">
        <f t="shared" si="6"/>
        <v>GeMoMa GeMoMaPipeline threads=12 GeMoMa.Score=ReAlign AnnotationFinalizer.r=NO o=true t=~/genomes/ncbi_dataset/data/GCF_030987335.1/GCF_030987335.1_ASM3098733v1_genomic.fna outdir=~/gemoma/Os_Cornus_florida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1" t="s">
        <v>176</v>
      </c>
      <c r="H51" t="str">
        <f t="shared" si="7"/>
        <v>outdir=~/gemoma/Os_Cornus_florida</v>
      </c>
      <c r="I51" t="s">
        <v>192</v>
      </c>
      <c r="J51" t="s">
        <v>66</v>
      </c>
      <c r="K51" t="s">
        <v>69</v>
      </c>
      <c r="L51" t="str">
        <f t="shared" si="8"/>
        <v>Cornus_florida.zip</v>
      </c>
      <c r="M51" t="str">
        <f t="shared" si="9"/>
        <v>datasets download genome accession GCF_030987335.1 --include gff3,rna,cds,protein,genome,seq-report --filename Cornus_florida.zip</v>
      </c>
    </row>
    <row r="52" spans="1:13" x14ac:dyDescent="0.2">
      <c r="A52" t="s">
        <v>232</v>
      </c>
      <c r="B52" t="s">
        <v>32</v>
      </c>
      <c r="C52" t="s">
        <v>194</v>
      </c>
      <c r="D52" t="s">
        <v>195</v>
      </c>
      <c r="E52" t="str">
        <f t="shared" si="12"/>
        <v>/GCA_015680905.1_ASM1568090v1_genomic.fna</v>
      </c>
      <c r="F52" s="5" t="str">
        <f t="shared" si="6"/>
        <v>GeMoMa GeMoMaPipeline threads=12 GeMoMa.Score=ReAlign AnnotationFinalizer.r=NO o=true t=~/genomes/ncbi_dataset/data/GCA_015680905.1/GCA_015680905.1_ASM1568090v1_genomic.fna outdir=~/gemoma/Os_Coptis_chinensis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2" t="s">
        <v>176</v>
      </c>
      <c r="H52" t="str">
        <f t="shared" ref="H52:H68" si="13">CONCATENATE(G52,A52)</f>
        <v>outdir=~/gemoma/Os_Coptis_chinensis</v>
      </c>
      <c r="I52" t="s">
        <v>192</v>
      </c>
      <c r="J52" s="13" t="s">
        <v>66</v>
      </c>
      <c r="K52" t="s">
        <v>69</v>
      </c>
      <c r="L52" t="str">
        <f t="shared" ref="L52:L70" si="14">CONCATENATE(A52,".zip")</f>
        <v>Coptis_chinensis.zip</v>
      </c>
      <c r="M52" t="str">
        <f t="shared" ref="M52:M70" si="15">CONCATENATE(J52,C52,K52,L52)</f>
        <v>datasets download genome accession GCA_015680905.1 --include gff3,rna,cds,protein,genome,seq-report --filename Coptis_chinensis.zip</v>
      </c>
    </row>
    <row r="53" spans="1:13" x14ac:dyDescent="0.2">
      <c r="A53" t="s">
        <v>233</v>
      </c>
      <c r="B53" t="s">
        <v>32</v>
      </c>
      <c r="C53" t="s">
        <v>196</v>
      </c>
      <c r="D53" t="s">
        <v>197</v>
      </c>
      <c r="E53" t="str">
        <f t="shared" si="12"/>
        <v>/GCA_002738505.1_Aquilegia_coerulea_v1_genomic.fna</v>
      </c>
      <c r="F53" s="5" t="str">
        <f t="shared" si="6"/>
        <v>GeMoMa GeMoMaPipeline threads=12 GeMoMa.Score=ReAlign AnnotationFinalizer.r=NO o=true t=~/genomes/ncbi_dataset/data/GCA_002738505.1/GCA_002738505.1_Aquilegia_coerulea_v1_genomic.fna outdir=~/gemoma/Os_Aquilegia_coerulea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3" t="s">
        <v>176</v>
      </c>
      <c r="H53" t="str">
        <f t="shared" si="13"/>
        <v>outdir=~/gemoma/Os_Aquilegia_coerulea</v>
      </c>
      <c r="I53" t="s">
        <v>192</v>
      </c>
      <c r="J53" s="13" t="s">
        <v>66</v>
      </c>
      <c r="K53" t="s">
        <v>69</v>
      </c>
      <c r="L53" t="str">
        <f t="shared" si="14"/>
        <v>Aquilegia_coerulea.zip</v>
      </c>
      <c r="M53" t="str">
        <f t="shared" si="15"/>
        <v>datasets download genome accession GCA_002738505.1 --include gff3,rna,cds,protein,genome,seq-report --filename Aquilegia_coerulea.zip</v>
      </c>
    </row>
    <row r="54" spans="1:13" x14ac:dyDescent="0.2">
      <c r="A54" t="s">
        <v>234</v>
      </c>
      <c r="B54" t="s">
        <v>32</v>
      </c>
      <c r="C54" t="s">
        <v>198</v>
      </c>
      <c r="D54" t="s">
        <v>199</v>
      </c>
      <c r="E54" t="str">
        <f t="shared" si="12"/>
        <v>/GCA_013358455.1_MaSuRCA_all.p2_genomic.fna</v>
      </c>
      <c r="F54" s="5" t="str">
        <f t="shared" si="6"/>
        <v>GeMoMa GeMoMaPipeline threads=12 GeMoMa.Score=ReAlign AnnotationFinalizer.r=NO o=true t=~/genomes/ncbi_dataset/data/GCA_013358455.1/GCA_013358455.1_MaSuRCA_all.p2_genomic.fna outdir=~/gemoma/Os_Thalictrum_thalictroides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4" t="s">
        <v>176</v>
      </c>
      <c r="H54" t="str">
        <f t="shared" si="13"/>
        <v>outdir=~/gemoma/Os_Thalictrum_thalictroides</v>
      </c>
      <c r="I54" t="s">
        <v>192</v>
      </c>
      <c r="J54" s="13" t="s">
        <v>66</v>
      </c>
      <c r="K54" t="s">
        <v>69</v>
      </c>
      <c r="L54" t="str">
        <f t="shared" si="14"/>
        <v>Thalictrum_thalictroides.zip</v>
      </c>
      <c r="M54" t="str">
        <f t="shared" si="15"/>
        <v>datasets download genome accession GCA_013358455.1 --include gff3,rna,cds,protein,genome,seq-report --filename Thalictrum_thalictroides.zip</v>
      </c>
    </row>
    <row r="55" spans="1:13" x14ac:dyDescent="0.2">
      <c r="A55" t="s">
        <v>235</v>
      </c>
      <c r="B55" t="s">
        <v>32</v>
      </c>
      <c r="C55" t="s">
        <v>200</v>
      </c>
      <c r="D55" t="s">
        <v>201</v>
      </c>
      <c r="E55" t="str">
        <f t="shared" si="12"/>
        <v>/GCA_028566255.1_ASM2856625v1_genomic.fna</v>
      </c>
      <c r="F55" s="5" t="str">
        <f t="shared" si="6"/>
        <v>GeMoMa GeMoMaPipeline threads=12 GeMoMa.Score=ReAlign AnnotationFinalizer.r=NO o=true t=~/genomes/ncbi_dataset/data/GCA_028566255.1/GCA_028566255.1_ASM2856625v1_genomic.fna outdir=~/gemoma/Os_Geranium_maculatum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5" t="s">
        <v>176</v>
      </c>
      <c r="H55" t="str">
        <f t="shared" si="13"/>
        <v>outdir=~/gemoma/Os_Geranium_maculatum</v>
      </c>
      <c r="I55" t="s">
        <v>192</v>
      </c>
      <c r="J55" s="13" t="s">
        <v>66</v>
      </c>
      <c r="K55" t="s">
        <v>69</v>
      </c>
      <c r="L55" t="str">
        <f t="shared" si="14"/>
        <v>Geranium_maculatum.zip</v>
      </c>
      <c r="M55" t="str">
        <f t="shared" si="15"/>
        <v>datasets download genome accession GCA_028566255.1 --include gff3,rna,cds,protein,genome,seq-report --filename Geranium_maculatum.zip</v>
      </c>
    </row>
    <row r="56" spans="1:13" x14ac:dyDescent="0.2">
      <c r="A56" t="s">
        <v>236</v>
      </c>
      <c r="B56" t="s">
        <v>32</v>
      </c>
      <c r="C56" t="s">
        <v>202</v>
      </c>
      <c r="D56" t="s">
        <v>203</v>
      </c>
      <c r="E56" t="str">
        <f t="shared" si="12"/>
        <v>/GCA_900128785.1_MPIPZ.v5_genomic.fna</v>
      </c>
      <c r="F56" s="5" t="str">
        <f t="shared" si="6"/>
        <v>GeMoMa GeMoMaPipeline threads=12 GeMoMa.Score=ReAlign AnnotationFinalizer.r=NO o=true t=~/genomes/ncbi_dataset/data/GCA_900128785.1/GCA_900128785.1_MPIPZ.v5_genomic.fna outdir=~/gemoma/Os_Arabis_alpina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6" t="s">
        <v>176</v>
      </c>
      <c r="H56" t="str">
        <f t="shared" si="13"/>
        <v>outdir=~/gemoma/Os_Arabis_alpina</v>
      </c>
      <c r="I56" t="s">
        <v>192</v>
      </c>
      <c r="J56" s="13" t="s">
        <v>66</v>
      </c>
      <c r="K56" t="s">
        <v>69</v>
      </c>
      <c r="L56" t="str">
        <f t="shared" si="14"/>
        <v>Arabis_alpina.zip</v>
      </c>
      <c r="M56" t="str">
        <f t="shared" si="15"/>
        <v>datasets download genome accession GCA_900128785.1 --include gff3,rna,cds,protein,genome,seq-report --filename Arabis_alpina.zip</v>
      </c>
    </row>
    <row r="57" spans="1:13" x14ac:dyDescent="0.2">
      <c r="A57" t="s">
        <v>237</v>
      </c>
      <c r="B57" t="s">
        <v>32</v>
      </c>
      <c r="C57" t="s">
        <v>204</v>
      </c>
      <c r="D57" t="s">
        <v>205</v>
      </c>
      <c r="E57" t="str">
        <f t="shared" si="12"/>
        <v>/GCA_963576765.1_ddDraInca1.1_genomic.fna</v>
      </c>
      <c r="F57" s="5" t="str">
        <f t="shared" si="6"/>
        <v>GeMoMa GeMoMaPipeline threads=12 GeMoMa.Score=ReAlign AnnotationFinalizer.r=NO o=true t=~/genomes/ncbi_dataset/data/GCA_963576765.1/GCA_963576765.1_ddDraInca1.1_genomic.fna outdir=~/gemoma/Os_Draba_incana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7" t="s">
        <v>176</v>
      </c>
      <c r="H57" t="str">
        <f t="shared" si="13"/>
        <v>outdir=~/gemoma/Os_Draba_incana</v>
      </c>
      <c r="I57" t="s">
        <v>192</v>
      </c>
      <c r="J57" s="13" t="s">
        <v>66</v>
      </c>
      <c r="K57" t="s">
        <v>69</v>
      </c>
      <c r="L57" t="str">
        <f t="shared" si="14"/>
        <v>Draba_incana.zip</v>
      </c>
      <c r="M57" t="str">
        <f t="shared" si="15"/>
        <v>datasets download genome accession GCA_963576765.1 --include gff3,rna,cds,protein,genome,seq-report --filename Draba_incana.zip</v>
      </c>
    </row>
    <row r="58" spans="1:13" x14ac:dyDescent="0.2">
      <c r="A58" t="s">
        <v>238</v>
      </c>
      <c r="B58" t="s">
        <v>32</v>
      </c>
      <c r="C58" t="s">
        <v>206</v>
      </c>
      <c r="D58" t="s">
        <v>207</v>
      </c>
      <c r="E58" t="str">
        <f t="shared" si="12"/>
        <v>/GCA_001974645.1_C_bursa_pastoris_nuclear_genome_v1_genomic.fna</v>
      </c>
      <c r="F58" s="5" t="str">
        <f t="shared" si="6"/>
        <v>GeMoMa GeMoMaPipeline threads=12 GeMoMa.Score=ReAlign AnnotationFinalizer.r=NO o=true t=~/genomes/ncbi_dataset/data/GCA_001974645.1/GCA_001974645.1_C_bursa_pastoris_nuclear_genome_v1_genomic.fna outdir=~/gemoma/Os_Capsella_bursa-pastoris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8" t="s">
        <v>176</v>
      </c>
      <c r="H58" t="str">
        <f t="shared" si="13"/>
        <v>outdir=~/gemoma/Os_Capsella_bursa-pastoris</v>
      </c>
      <c r="I58" t="s">
        <v>192</v>
      </c>
      <c r="J58" s="13" t="s">
        <v>66</v>
      </c>
      <c r="K58" t="s">
        <v>69</v>
      </c>
      <c r="L58" t="str">
        <f t="shared" si="14"/>
        <v>Capsella_bursa-pastoris.zip</v>
      </c>
      <c r="M58" t="str">
        <f t="shared" si="15"/>
        <v>datasets download genome accession GCA_001974645.1 --include gff3,rna,cds,protein,genome,seq-report --filename Capsella_bursa-pastoris.zip</v>
      </c>
    </row>
    <row r="59" spans="1:13" x14ac:dyDescent="0.2">
      <c r="A59" t="s">
        <v>239</v>
      </c>
      <c r="B59" t="s">
        <v>32</v>
      </c>
      <c r="C59" t="s">
        <v>208</v>
      </c>
      <c r="D59" t="s">
        <v>209</v>
      </c>
      <c r="E59" t="str">
        <f t="shared" si="12"/>
        <v>/GCA_020283515.1_Apet_EFCC3-3-20v4_genomic.fna</v>
      </c>
      <c r="F59" s="5" t="str">
        <f t="shared" si="6"/>
        <v>GeMoMa GeMoMaPipeline threads=12 GeMoMa.Score=ReAlign AnnotationFinalizer.r=NO o=true t=~/genomes/ncbi_dataset/data/GCA_020283515.1/GCA_020283515.1_Apet_EFCC3-3-20v4_genomic.fna outdir=~/gemoma/Os_Alliaria_petiolata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59" t="s">
        <v>176</v>
      </c>
      <c r="H59" t="str">
        <f t="shared" si="13"/>
        <v>outdir=~/gemoma/Os_Alliaria_petiolata</v>
      </c>
      <c r="I59" t="s">
        <v>192</v>
      </c>
      <c r="J59" s="13" t="s">
        <v>66</v>
      </c>
      <c r="K59" t="s">
        <v>69</v>
      </c>
      <c r="L59" t="str">
        <f t="shared" si="14"/>
        <v>Alliaria_petiolata.zip</v>
      </c>
      <c r="M59" t="str">
        <f t="shared" si="15"/>
        <v>datasets download genome accession GCA_020283515.1 --include gff3,rna,cds,protein,genome,seq-report --filename Alliaria_petiolata.zip</v>
      </c>
    </row>
    <row r="60" spans="1:13" x14ac:dyDescent="0.2">
      <c r="A60" t="s">
        <v>240</v>
      </c>
      <c r="B60" t="s">
        <v>32</v>
      </c>
      <c r="C60" t="s">
        <v>210</v>
      </c>
      <c r="D60" t="s">
        <v>211</v>
      </c>
      <c r="E60" t="str">
        <f t="shared" si="12"/>
        <v>/GCA_014578085.1_Cresedifolia_CH_v1_genomic.fna</v>
      </c>
      <c r="F60" s="5" t="str">
        <f t="shared" si="6"/>
        <v>GeMoMa GeMoMaPipeline threads=12 GeMoMa.Score=ReAlign AnnotationFinalizer.r=NO o=true t=~/genomes/ncbi_dataset/data/GCA_014578085.1/GCA_014578085.1_Cresedifolia_CH_v1_genomic.fna outdir=~/gemoma/Os_Cardamine_resedifolia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0" t="s">
        <v>176</v>
      </c>
      <c r="H60" t="str">
        <f t="shared" si="13"/>
        <v>outdir=~/gemoma/Os_Cardamine_resedifolia</v>
      </c>
      <c r="I60" t="s">
        <v>192</v>
      </c>
      <c r="J60" s="13" t="s">
        <v>66</v>
      </c>
      <c r="K60" t="s">
        <v>69</v>
      </c>
      <c r="L60" t="str">
        <f t="shared" si="14"/>
        <v>Cardamine_resedifolia.zip</v>
      </c>
      <c r="M60" t="str">
        <f t="shared" si="15"/>
        <v>datasets download genome accession GCA_014578085.1 --include gff3,rna,cds,protein,genome,seq-report --filename Cardamine_resedifolia.zip</v>
      </c>
    </row>
    <row r="61" spans="1:13" x14ac:dyDescent="0.2">
      <c r="A61" t="s">
        <v>241</v>
      </c>
      <c r="B61" t="s">
        <v>32</v>
      </c>
      <c r="C61" t="s">
        <v>212</v>
      </c>
      <c r="D61" t="s">
        <v>213</v>
      </c>
      <c r="E61" t="str">
        <f t="shared" si="12"/>
        <v>/GCA_900406315.1_Biscutella longifolia_genomic.fna</v>
      </c>
      <c r="F61" s="5" t="str">
        <f t="shared" si="6"/>
        <v>GeMoMa GeMoMaPipeline threads=12 GeMoMa.Score=ReAlign AnnotationFinalizer.r=NO o=true t=~/genomes/ncbi_dataset/data/GCA_900406315.1/GCA_900406315.1_Biscutella longifolia_genomic.fna outdir=~/gemoma/Os_Biscutella_laevigata_subsp._laevigata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1" t="s">
        <v>176</v>
      </c>
      <c r="H61" t="str">
        <f t="shared" si="13"/>
        <v>outdir=~/gemoma/Os_Biscutella_laevigata_subsp._laevigata</v>
      </c>
      <c r="I61" t="s">
        <v>192</v>
      </c>
      <c r="J61" s="13" t="s">
        <v>66</v>
      </c>
      <c r="K61" t="s">
        <v>69</v>
      </c>
      <c r="L61" t="str">
        <f t="shared" si="14"/>
        <v>Biscutella_laevigata_subsp._laevigata.zip</v>
      </c>
      <c r="M61" t="str">
        <f t="shared" si="15"/>
        <v>datasets download genome accession GCA_900406315.1 --include gff3,rna,cds,protein,genome,seq-report --filename Biscutella_laevigata_subsp._laevigata.zip</v>
      </c>
    </row>
    <row r="62" spans="1:13" x14ac:dyDescent="0.2">
      <c r="A62" t="s">
        <v>242</v>
      </c>
      <c r="B62" t="s">
        <v>32</v>
      </c>
      <c r="C62" t="s">
        <v>214</v>
      </c>
      <c r="D62" t="s">
        <v>215</v>
      </c>
      <c r="E62" t="str">
        <f t="shared" si="12"/>
        <v>/GCA_900406495.1_ASM90040649v1_genomic.fna</v>
      </c>
      <c r="F62" s="5" t="str">
        <f t="shared" si="6"/>
        <v>GeMoMa GeMoMaPipeline threads=12 GeMoMa.Score=ReAlign AnnotationFinalizer.r=NO o=true t=~/genomes/ncbi_dataset/data/GCA_900406495.1/GCA_900406495.1_ASM90040649v1_genomic.fna outdir=~/gemoma/Os_Sisymbrium_altissimum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2" t="s">
        <v>176</v>
      </c>
      <c r="H62" t="str">
        <f t="shared" si="13"/>
        <v>outdir=~/gemoma/Os_Sisymbrium_altissimum</v>
      </c>
      <c r="I62" t="s">
        <v>192</v>
      </c>
      <c r="J62" s="13" t="s">
        <v>66</v>
      </c>
      <c r="K62" t="s">
        <v>69</v>
      </c>
      <c r="L62" t="str">
        <f t="shared" si="14"/>
        <v>Sisymbrium_altissimum.zip</v>
      </c>
      <c r="M62" t="str">
        <f t="shared" si="15"/>
        <v>datasets download genome accession GCA_900406495.1 --include gff3,rna,cds,protein,genome,seq-report --filename Sisymbrium_altissimum.zip</v>
      </c>
    </row>
    <row r="63" spans="1:13" x14ac:dyDescent="0.2">
      <c r="A63" t="s">
        <v>243</v>
      </c>
      <c r="B63" t="s">
        <v>32</v>
      </c>
      <c r="C63" t="s">
        <v>231</v>
      </c>
      <c r="D63" t="s">
        <v>230</v>
      </c>
      <c r="E63" t="str">
        <f t="shared" si="12"/>
        <v>/GCF_000001735.4_TAIR10.1_genomic.fna</v>
      </c>
      <c r="F63" s="5" t="str">
        <f t="shared" si="6"/>
        <v>GeMoMa GeMoMaPipeline threads=12 GeMoMa.Score=ReAlign AnnotationFinalizer.r=NO o=true t=~/genomes/ncbi_dataset/data/GCF_000001735.4/GCF_000001735.4_TAIR10.1_genomic.fna outdir=~/gemoma/Os_Arabidopsis_thaliana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3" t="s">
        <v>176</v>
      </c>
      <c r="H63" t="str">
        <f t="shared" si="13"/>
        <v>outdir=~/gemoma/Os_Arabidopsis_thaliana</v>
      </c>
      <c r="I63" t="s">
        <v>192</v>
      </c>
      <c r="J63" s="13" t="s">
        <v>66</v>
      </c>
      <c r="K63" t="s">
        <v>69</v>
      </c>
      <c r="L63" t="str">
        <f t="shared" si="14"/>
        <v>Arabidopsis_thaliana.zip</v>
      </c>
      <c r="M63" t="str">
        <f t="shared" si="15"/>
        <v>datasets download genome accession GCF_000001735.4 --include gff3,rna,cds,protein,genome,seq-report --filename Arabidopsis_thaliana.zip</v>
      </c>
    </row>
    <row r="64" spans="1:13" x14ac:dyDescent="0.2">
      <c r="A64" t="s">
        <v>244</v>
      </c>
      <c r="B64" t="s">
        <v>32</v>
      </c>
      <c r="C64" t="s">
        <v>216</v>
      </c>
      <c r="D64" s="11" t="s">
        <v>276</v>
      </c>
      <c r="E64" t="str">
        <f t="shared" si="12"/>
        <v>/GCA_916181665.1_Oat _OT3098 _v2_genomic.fna</v>
      </c>
      <c r="F64" s="5" t="str">
        <f t="shared" si="6"/>
        <v>GeMoMa GeMoMaPipeline threads=12 GeMoMa.Score=ReAlign AnnotationFinalizer.r=NO o=true t=~/genomes/ncbi_dataset/data/GCA_916181665.1/GCA_916181665.1_Oat _OT3098 _v2_genomic.fna outdir=~/gemoma/Os_Avena_sativa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4" t="s">
        <v>176</v>
      </c>
      <c r="H64" t="str">
        <f t="shared" si="13"/>
        <v>outdir=~/gemoma/Os_Avena_sativa</v>
      </c>
      <c r="I64" t="s">
        <v>192</v>
      </c>
      <c r="J64" s="13" t="s">
        <v>66</v>
      </c>
      <c r="K64" t="s">
        <v>69</v>
      </c>
      <c r="L64" t="str">
        <f t="shared" si="14"/>
        <v>Avena_sativa.zip</v>
      </c>
      <c r="M64" t="str">
        <f t="shared" si="15"/>
        <v>datasets download genome accession GCA_916181665.1 --include gff3,rna,cds,protein,genome,seq-report --filename Avena_sativa.zip</v>
      </c>
    </row>
    <row r="65" spans="1:13" x14ac:dyDescent="0.2">
      <c r="A65" t="s">
        <v>245</v>
      </c>
      <c r="B65" t="s">
        <v>32</v>
      </c>
      <c r="C65" t="s">
        <v>219</v>
      </c>
      <c r="D65" t="s">
        <v>218</v>
      </c>
      <c r="E65" t="str">
        <f t="shared" si="12"/>
        <v>/GCF_018294505.1_IWGSC CS RefSeq v2.1_genomic.fna</v>
      </c>
      <c r="F65" s="5" t="str">
        <f t="shared" si="6"/>
        <v>GeMoMa GeMoMaPipeline threads=12 GeMoMa.Score=ReAlign AnnotationFinalizer.r=NO o=true t=~/genomes/ncbi_dataset/data/GCF_018294505.1/GCF_018294505.1_IWGSC CS RefSeq v2.1_genomic.fna outdir=~/gemoma/Os_Triticum_aestivum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5" t="s">
        <v>176</v>
      </c>
      <c r="H65" t="str">
        <f t="shared" si="13"/>
        <v>outdir=~/gemoma/Os_Triticum_aestivum</v>
      </c>
      <c r="I65" t="s">
        <v>192</v>
      </c>
      <c r="J65" s="13" t="s">
        <v>66</v>
      </c>
      <c r="K65" t="s">
        <v>69</v>
      </c>
      <c r="L65" t="str">
        <f t="shared" si="14"/>
        <v>Triticum_aestivum.zip</v>
      </c>
      <c r="M65" t="str">
        <f t="shared" si="15"/>
        <v>datasets download genome accession GCF_018294505.1 --include gff3,rna,cds,protein,genome,seq-report --filename Triticum_aestivum.zip</v>
      </c>
    </row>
    <row r="66" spans="1:13" x14ac:dyDescent="0.2">
      <c r="A66" t="s">
        <v>246</v>
      </c>
      <c r="B66" t="s">
        <v>32</v>
      </c>
      <c r="C66" t="s">
        <v>221</v>
      </c>
      <c r="D66" t="s">
        <v>220</v>
      </c>
      <c r="E66" t="str">
        <f t="shared" si="12"/>
        <v>/GCF_904849725.1_MorexV3_pseudomolecules_assembly_genomic.fna</v>
      </c>
      <c r="F66" s="5" t="str">
        <f t="shared" si="6"/>
        <v>GeMoMa GeMoMaPipeline threads=12 GeMoMa.Score=ReAlign AnnotationFinalizer.r=NO o=true t=~/genomes/ncbi_dataset/data/GCF_904849725.1/GCF_904849725.1_MorexV3_pseudomolecules_assembly_genomic.fna outdir=~/gemoma/Os_Hordeum_vulgare_subsp._vulgare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6" t="s">
        <v>176</v>
      </c>
      <c r="H66" t="str">
        <f t="shared" si="13"/>
        <v>outdir=~/gemoma/Os_Hordeum_vulgare_subsp._vulgare</v>
      </c>
      <c r="I66" t="s">
        <v>192</v>
      </c>
      <c r="J66" s="13" t="s">
        <v>66</v>
      </c>
      <c r="K66" t="s">
        <v>69</v>
      </c>
      <c r="L66" t="str">
        <f t="shared" si="14"/>
        <v>Hordeum_vulgare_subsp._vulgare.zip</v>
      </c>
      <c r="M66" t="str">
        <f t="shared" si="15"/>
        <v>datasets download genome accession GCF_904849725.1 --include gff3,rna,cds,protein,genome,seq-report --filename Hordeum_vulgare_subsp._vulgare.zip</v>
      </c>
    </row>
    <row r="67" spans="1:13" x14ac:dyDescent="0.2">
      <c r="A67" t="s">
        <v>247</v>
      </c>
      <c r="B67" t="s">
        <v>32</v>
      </c>
      <c r="C67" t="s">
        <v>223</v>
      </c>
      <c r="D67" t="s">
        <v>222</v>
      </c>
      <c r="E67" t="str">
        <f t="shared" si="12"/>
        <v>/GCF_019359855.1_MPB_Lper_Kyuss_1697_genomic.fna</v>
      </c>
      <c r="F67" s="5" t="str">
        <f t="shared" si="6"/>
        <v>GeMoMa GeMoMaPipeline threads=12 GeMoMa.Score=ReAlign AnnotationFinalizer.r=NO o=true t=~/genomes/ncbi_dataset/data/GCF_019359855.1/GCF_019359855.1_MPB_Lper_Kyuss_1697_genomic.fna outdir=~/gemoma/Os_Lolium_perenne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7" t="s">
        <v>176</v>
      </c>
      <c r="H67" t="str">
        <f t="shared" si="13"/>
        <v>outdir=~/gemoma/Os_Lolium_perenne</v>
      </c>
      <c r="I67" t="s">
        <v>192</v>
      </c>
      <c r="J67" s="13" t="s">
        <v>66</v>
      </c>
      <c r="K67" t="s">
        <v>69</v>
      </c>
      <c r="L67" t="str">
        <f t="shared" si="14"/>
        <v>Lolium_perenne.zip</v>
      </c>
      <c r="M67" t="str">
        <f t="shared" si="15"/>
        <v>datasets download genome accession GCF_019359855.1 --include gff3,rna,cds,protein,genome,seq-report --filename Lolium_perenne.zip</v>
      </c>
    </row>
    <row r="68" spans="1:13" x14ac:dyDescent="0.2">
      <c r="A68" t="s">
        <v>248</v>
      </c>
      <c r="B68" t="s">
        <v>32</v>
      </c>
      <c r="C68" t="s">
        <v>224</v>
      </c>
      <c r="D68" t="s">
        <v>225</v>
      </c>
      <c r="E68" t="str">
        <f t="shared" si="12"/>
        <v>/GCA_028641055.1_Alomy_genome_v1_genomic.fna</v>
      </c>
      <c r="F68" s="5" t="str">
        <f t="shared" si="6"/>
        <v>GeMoMa GeMoMaPipeline threads=12 GeMoMa.Score=ReAlign AnnotationFinalizer.r=NO o=true t=~/genomes/ncbi_dataset/data/GCA_028641055.1/GCA_028641055.1_Alomy_genome_v1_genomic.fna outdir=~/gemoma/Os_Alopecurus_myosuroides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8" t="s">
        <v>176</v>
      </c>
      <c r="H68" t="str">
        <f t="shared" si="13"/>
        <v>outdir=~/gemoma/Os_Alopecurus_myosuroides</v>
      </c>
      <c r="I68" t="s">
        <v>192</v>
      </c>
      <c r="J68" s="13" t="s">
        <v>66</v>
      </c>
      <c r="K68" t="s">
        <v>69</v>
      </c>
      <c r="L68" t="str">
        <f t="shared" si="14"/>
        <v>Alopecurus_myosuroides.zip</v>
      </c>
      <c r="M68" t="str">
        <f t="shared" si="15"/>
        <v>datasets download genome accession GCA_028641055.1 --include gff3,rna,cds,protein,genome,seq-report --filename Alopecurus_myosuroides.zip</v>
      </c>
    </row>
    <row r="69" spans="1:13" x14ac:dyDescent="0.2">
      <c r="A69" t="s">
        <v>249</v>
      </c>
      <c r="B69" t="s">
        <v>32</v>
      </c>
      <c r="C69" t="s">
        <v>226</v>
      </c>
      <c r="D69" t="s">
        <v>227</v>
      </c>
      <c r="E69" t="str">
        <f t="shared" si="12"/>
        <v>/GCA_026929855.1_FRR_PoAnn_1.0_genomic.fna</v>
      </c>
      <c r="F69" s="5" t="str">
        <f t="shared" si="6"/>
        <v>GeMoMa GeMoMaPipeline threads=12 GeMoMa.Score=ReAlign AnnotationFinalizer.r=NO o=true t=~/genomes/ncbi_dataset/data/GCA_026929855.1/GCA_026929855.1_FRR_PoAnn_1.0_genomic.fna outdir=~/gemoma/Os_Poa_annua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69" t="s">
        <v>176</v>
      </c>
      <c r="H69" t="str">
        <f t="shared" ref="H69:H70" si="16">CONCATENATE(G69,A69)</f>
        <v>outdir=~/gemoma/Os_Poa_annua</v>
      </c>
      <c r="I69" t="s">
        <v>192</v>
      </c>
      <c r="J69" s="13" t="s">
        <v>66</v>
      </c>
      <c r="K69" t="s">
        <v>69</v>
      </c>
      <c r="L69" t="str">
        <f t="shared" si="14"/>
        <v>Poa_annua.zip</v>
      </c>
      <c r="M69" t="str">
        <f t="shared" si="15"/>
        <v>datasets download genome accession GCA_026929855.1 --include gff3,rna,cds,protein,genome,seq-report --filename Poa_annua.zip</v>
      </c>
    </row>
    <row r="70" spans="1:13" x14ac:dyDescent="0.2">
      <c r="A70" t="s">
        <v>250</v>
      </c>
      <c r="B70" t="s">
        <v>32</v>
      </c>
      <c r="C70" t="s">
        <v>228</v>
      </c>
      <c r="D70" t="s">
        <v>229</v>
      </c>
      <c r="E70" t="str">
        <f t="shared" si="12"/>
        <v>/GCA_007115705.1_ASM711570v1_genomic.fna</v>
      </c>
      <c r="F70" s="5" t="str">
        <f t="shared" si="6"/>
        <v>GeMoMa GeMoMaPipeline threads=12 GeMoMa.Score=ReAlign AnnotationFinalizer.r=NO o=true t=~/genomes/ncbi_dataset/data/GCA_007115705.1/GCA_007115705.1_ASM711570v1_genomic.fna outdir=~/gemoma/Os_Dactylis_glomerata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0" t="s">
        <v>176</v>
      </c>
      <c r="H70" t="str">
        <f t="shared" si="16"/>
        <v>outdir=~/gemoma/Os_Dactylis_glomerata</v>
      </c>
      <c r="I70" t="s">
        <v>192</v>
      </c>
      <c r="J70" s="13" t="s">
        <v>66</v>
      </c>
      <c r="K70" t="s">
        <v>69</v>
      </c>
      <c r="L70" t="str">
        <f t="shared" si="14"/>
        <v>Dactylis_glomerata.zip</v>
      </c>
      <c r="M70" t="str">
        <f t="shared" si="15"/>
        <v>datasets download genome accession GCA_007115705.1 --include gff3,rna,cds,protein,genome,seq-report --filename Dactylis_glomerata.zip</v>
      </c>
    </row>
    <row r="71" spans="1:13" x14ac:dyDescent="0.2">
      <c r="A71" t="s">
        <v>267</v>
      </c>
      <c r="B71" t="s">
        <v>32</v>
      </c>
      <c r="C71" t="s">
        <v>252</v>
      </c>
      <c r="D71" t="s">
        <v>251</v>
      </c>
      <c r="E71" t="str">
        <f t="shared" si="12"/>
        <v>/GCF_002870075.4_Lsat_Salinas_v11_genomic.fna</v>
      </c>
      <c r="F71" s="5" t="str">
        <f t="shared" si="6"/>
        <v>GeMoMa GeMoMaPipeline threads=12 GeMoMa.Score=ReAlign AnnotationFinalizer.r=NO o=true t=~/genomes/ncbi_dataset/data/GCF_002870075.4/GCF_002870075.4_Lsat_Salinas_v11_genomic.fna outdir=~/gemoma/Os_Lactuca_sativa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1" t="s">
        <v>176</v>
      </c>
      <c r="H71" t="str">
        <f t="shared" ref="H71:H78" si="17">CONCATENATE(G71,A71)</f>
        <v>outdir=~/gemoma/Os_Lactuca_sativa</v>
      </c>
      <c r="I71" t="s">
        <v>192</v>
      </c>
      <c r="J71" s="13" t="s">
        <v>66</v>
      </c>
      <c r="K71" t="s">
        <v>69</v>
      </c>
      <c r="L71" t="str">
        <f t="shared" ref="L71:L78" si="18">CONCATENATE(A71,".zip")</f>
        <v>Lactuca_sativa.zip</v>
      </c>
      <c r="M71" t="str">
        <f t="shared" ref="M71:M78" si="19">CONCATENATE(J71,C71,K71,L71)</f>
        <v>datasets download genome accession GCF_002870075.4 --include gff3,rna,cds,protein,genome,seq-report --filename Lactuca_sativa.zip</v>
      </c>
    </row>
    <row r="72" spans="1:13" x14ac:dyDescent="0.2">
      <c r="A72" t="s">
        <v>268</v>
      </c>
      <c r="B72" t="s">
        <v>32</v>
      </c>
      <c r="C72" t="s">
        <v>254</v>
      </c>
      <c r="D72" t="s">
        <v>253</v>
      </c>
      <c r="E72" t="str">
        <f t="shared" si="12"/>
        <v>/GCF_002127325.2_HanXRQr2.0-SUNRISE_genomic.fna</v>
      </c>
      <c r="F72" s="5" t="str">
        <f t="shared" si="6"/>
        <v>GeMoMa GeMoMaPipeline threads=12 GeMoMa.Score=ReAlign AnnotationFinalizer.r=NO o=true t=~/genomes/ncbi_dataset/data/GCF_002127325.2/GCF_002127325.2_HanXRQr2.0-SUNRISE_genomic.fna outdir=~/gemoma/Os_Helianthus_annuus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2" t="s">
        <v>176</v>
      </c>
      <c r="H72" t="str">
        <f t="shared" si="17"/>
        <v>outdir=~/gemoma/Os_Helianthus_annuus</v>
      </c>
      <c r="I72" t="s">
        <v>192</v>
      </c>
      <c r="J72" s="13" t="s">
        <v>66</v>
      </c>
      <c r="K72" t="s">
        <v>69</v>
      </c>
      <c r="L72" t="str">
        <f t="shared" si="18"/>
        <v>Helianthus_annuus.zip</v>
      </c>
      <c r="M72" t="str">
        <f t="shared" si="19"/>
        <v>datasets download genome accession GCF_002127325.2 --include gff3,rna,cds,protein,genome,seq-report --filename Helianthus_annuus.zip</v>
      </c>
    </row>
    <row r="73" spans="1:13" x14ac:dyDescent="0.2">
      <c r="A73" t="s">
        <v>269</v>
      </c>
      <c r="B73" t="s">
        <v>32</v>
      </c>
      <c r="C73" t="s">
        <v>255</v>
      </c>
      <c r="D73" t="s">
        <v>256</v>
      </c>
      <c r="E73" t="str">
        <f t="shared" si="12"/>
        <v>/GCA_023525715.1_ASM2352571v1_genomic.fna</v>
      </c>
      <c r="F73" s="5" t="str">
        <f t="shared" si="6"/>
        <v>GeMoMa GeMoMaPipeline threads=12 GeMoMa.Score=ReAlign AnnotationFinalizer.r=NO o=true t=~/genomes/ncbi_dataset/data/GCA_023525715.1/GCA_023525715.1_ASM2352571v1_genomic.fna outdir=~/gemoma/Os_Cichorium_intybus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3" t="s">
        <v>176</v>
      </c>
      <c r="H73" t="str">
        <f t="shared" si="17"/>
        <v>outdir=~/gemoma/Os_Cichorium_intybus</v>
      </c>
      <c r="I73" t="s">
        <v>192</v>
      </c>
      <c r="J73" s="13" t="s">
        <v>66</v>
      </c>
      <c r="K73" t="s">
        <v>69</v>
      </c>
      <c r="L73" t="str">
        <f t="shared" si="18"/>
        <v>Cichorium_intybus.zip</v>
      </c>
      <c r="M73" t="str">
        <f t="shared" si="19"/>
        <v>datasets download genome accession GCA_023525715.1 --include gff3,rna,cds,protein,genome,seq-report --filename Cichorium_intybus.zip</v>
      </c>
    </row>
    <row r="74" spans="1:13" x14ac:dyDescent="0.2">
      <c r="A74" t="s">
        <v>270</v>
      </c>
      <c r="B74" t="s">
        <v>32</v>
      </c>
      <c r="C74" t="s">
        <v>257</v>
      </c>
      <c r="D74" t="s">
        <v>258</v>
      </c>
      <c r="E74" t="str">
        <f t="shared" si="12"/>
        <v>/GCA_025667525.1_Gcor_v1_genomic.fna</v>
      </c>
      <c r="F74" s="5" t="str">
        <f t="shared" si="6"/>
        <v>GeMoMa GeMoMaPipeline threads=12 GeMoMa.Score=ReAlign AnnotationFinalizer.r=NO o=true t=~/genomes/ncbi_dataset/data/GCA_025667525.1/GCA_025667525.1_Gcor_v1_genomic.fna outdir=~/gemoma/Os_Glebionis_coronaria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4" t="s">
        <v>176</v>
      </c>
      <c r="H74" t="str">
        <f t="shared" si="17"/>
        <v>outdir=~/gemoma/Os_Glebionis_coronaria</v>
      </c>
      <c r="I74" t="s">
        <v>192</v>
      </c>
      <c r="J74" s="13" t="s">
        <v>66</v>
      </c>
      <c r="K74" t="s">
        <v>69</v>
      </c>
      <c r="L74" t="str">
        <f t="shared" si="18"/>
        <v>Glebionis_coronaria.zip</v>
      </c>
      <c r="M74" t="str">
        <f t="shared" si="19"/>
        <v>datasets download genome accession GCA_025667525.1 --include gff3,rna,cds,protein,genome,seq-report --filename Glebionis_coronaria.zip</v>
      </c>
    </row>
    <row r="75" spans="1:13" x14ac:dyDescent="0.2">
      <c r="A75" t="s">
        <v>271</v>
      </c>
      <c r="B75" t="s">
        <v>32</v>
      </c>
      <c r="C75" t="s">
        <v>259</v>
      </c>
      <c r="D75" t="s">
        <v>260</v>
      </c>
      <c r="E75" t="str">
        <f t="shared" si="12"/>
        <v>/GCA_022545495.1_ASM2254549v1_genomic.fna</v>
      </c>
      <c r="F75" s="5" t="str">
        <f t="shared" si="6"/>
        <v>GeMoMa GeMoMaPipeline threads=12 GeMoMa.Score=ReAlign AnnotationFinalizer.r=NO o=true t=~/genomes/ncbi_dataset/data/GCA_022545495.1/GCA_022545495.1_ASM2254549v1_genomic.fna outdir=~/gemoma/Os_Chrysanthemum_lavandulifolium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5" t="s">
        <v>176</v>
      </c>
      <c r="H75" t="str">
        <f t="shared" si="17"/>
        <v>outdir=~/gemoma/Os_Chrysanthemum_lavandulifolium</v>
      </c>
      <c r="I75" t="s">
        <v>192</v>
      </c>
      <c r="J75" s="13" t="s">
        <v>66</v>
      </c>
      <c r="K75" t="s">
        <v>69</v>
      </c>
      <c r="L75" t="str">
        <f t="shared" si="18"/>
        <v>Chrysanthemum_lavandulifolium.zip</v>
      </c>
      <c r="M75" t="str">
        <f t="shared" si="19"/>
        <v>datasets download genome accession GCA_022545495.1 --include gff3,rna,cds,protein,genome,seq-report --filename Chrysanthemum_lavandulifolium.zip</v>
      </c>
    </row>
    <row r="76" spans="1:13" x14ac:dyDescent="0.2">
      <c r="A76" t="s">
        <v>272</v>
      </c>
      <c r="B76" t="s">
        <v>32</v>
      </c>
      <c r="C76" t="s">
        <v>261</v>
      </c>
      <c r="D76" t="s">
        <v>262</v>
      </c>
      <c r="E76" t="str">
        <f t="shared" si="12"/>
        <v>/GCA_014162995.1_Aran_genomic.fna</v>
      </c>
      <c r="F76" s="5" t="str">
        <f t="shared" si="6"/>
        <v>GeMoMa GeMoMaPipeline threads=12 GeMoMa.Score=ReAlign AnnotationFinalizer.r=NO o=true t=~/genomes/ncbi_dataset/data/GCA_014162995.1/GCA_014162995.1_Aran_genomic.fna outdir=~/gemoma/Os_Artemisia_annua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6" t="s">
        <v>176</v>
      </c>
      <c r="H76" t="str">
        <f t="shared" si="17"/>
        <v>outdir=~/gemoma/Os_Artemisia_annua</v>
      </c>
      <c r="I76" t="s">
        <v>192</v>
      </c>
      <c r="J76" s="13" t="s">
        <v>66</v>
      </c>
      <c r="K76" t="s">
        <v>69</v>
      </c>
      <c r="L76" t="str">
        <f t="shared" si="18"/>
        <v>Artemisia_annua.zip</v>
      </c>
      <c r="M76" t="str">
        <f t="shared" si="19"/>
        <v>datasets download genome accession GCA_014162995.1 --include gff3,rna,cds,protein,genome,seq-report --filename Artemisia_annua.zip</v>
      </c>
    </row>
    <row r="77" spans="1:13" x14ac:dyDescent="0.2">
      <c r="A77" t="s">
        <v>273</v>
      </c>
      <c r="B77" t="s">
        <v>32</v>
      </c>
      <c r="C77" t="s">
        <v>263</v>
      </c>
      <c r="D77" t="s">
        <v>264</v>
      </c>
      <c r="E77" t="str">
        <f t="shared" si="12"/>
        <v>/GCA_026074375.1_Tcoc_v1.0_genomic.fna</v>
      </c>
      <c r="F77" s="5" t="str">
        <f t="shared" si="6"/>
        <v>GeMoMa GeMoMaPipeline threads=12 GeMoMa.Score=ReAlign AnnotationFinalizer.r=NO o=true t=~/genomes/ncbi_dataset/data/GCA_026074375.1/GCA_026074375.1_Tcoc_v1.0_genomic.fna outdir=~/gemoma/Os_Tanacetum_coccineum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7" t="s">
        <v>176</v>
      </c>
      <c r="H77" t="str">
        <f t="shared" si="17"/>
        <v>outdir=~/gemoma/Os_Tanacetum_coccineum</v>
      </c>
      <c r="I77" t="s">
        <v>192</v>
      </c>
      <c r="J77" s="13" t="s">
        <v>66</v>
      </c>
      <c r="K77" t="s">
        <v>69</v>
      </c>
      <c r="L77" t="str">
        <f t="shared" si="18"/>
        <v>Tanacetum_coccineum.zip</v>
      </c>
      <c r="M77" t="str">
        <f t="shared" si="19"/>
        <v>datasets download genome accession GCA_026074375.1 --include gff3,rna,cds,protein,genome,seq-report --filename Tanacetum_coccineum.zip</v>
      </c>
    </row>
    <row r="78" spans="1:13" x14ac:dyDescent="0.2">
      <c r="A78" t="s">
        <v>274</v>
      </c>
      <c r="B78" t="s">
        <v>32</v>
      </c>
      <c r="C78" t="s">
        <v>265</v>
      </c>
      <c r="D78" t="s">
        <v>266</v>
      </c>
      <c r="E78" t="str">
        <f t="shared" si="12"/>
        <v>/GCA_910822075.1_dSenSqu2.1_genomic.fna</v>
      </c>
      <c r="F78" s="5" t="str">
        <f t="shared" si="6"/>
        <v>GeMoMa GeMoMaPipeline threads=12 GeMoMa.Score=ReAlign AnnotationFinalizer.r=NO o=true t=~/genomes/ncbi_dataset/data/GCA_910822075.1/GCA_910822075.1_dSenSqu2.1_genomic.fna outdir=~/gemoma/Os_Senecio_squalidus selected=~/gemoma/Os_selected a=~/genomes/ncbi_dataset/data/Os_IRGSP-1.0_genome/IRGSP-1.0_representative/transcripts.gff g=~/genomes/ncbi_dataset/data/Os_IRGSP-1.0_genome/IRGSP-1.0_genome.fasta GAF.f="start=='M' and (isNaN(score) or score/aa&gt;=0.75)"</v>
      </c>
      <c r="G78" t="s">
        <v>176</v>
      </c>
      <c r="H78" t="str">
        <f t="shared" si="17"/>
        <v>outdir=~/gemoma/Os_Senecio_squalidus</v>
      </c>
      <c r="I78" t="s">
        <v>192</v>
      </c>
      <c r="J78" s="13" t="s">
        <v>66</v>
      </c>
      <c r="K78" t="s">
        <v>69</v>
      </c>
      <c r="L78" t="str">
        <f t="shared" si="18"/>
        <v>Senecio_squalidus.zip</v>
      </c>
      <c r="M78" t="str">
        <f t="shared" si="19"/>
        <v>datasets download genome accession GCA_910822075.1 --include gff3,rna,cds,protein,genome,seq-report --filename Senecio_squalidus.zip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2854-9AD4-B946-B40C-8B18C5777EE3}">
  <dimension ref="A1:O79"/>
  <sheetViews>
    <sheetView zoomScale="80" zoomScaleNormal="80" workbookViewId="0">
      <selection activeCell="A3" sqref="A3:XFD3"/>
    </sheetView>
  </sheetViews>
  <sheetFormatPr baseColWidth="10" defaultRowHeight="16" x14ac:dyDescent="0.2"/>
  <cols>
    <col min="1" max="1" width="30.6640625" bestFit="1" customWidth="1"/>
    <col min="2" max="2" width="52.6640625" customWidth="1"/>
    <col min="3" max="3" width="48" bestFit="1" customWidth="1"/>
    <col min="4" max="4" width="41.5" bestFit="1" customWidth="1"/>
    <col min="5" max="5" width="48.1640625" customWidth="1"/>
    <col min="6" max="6" width="255.83203125" bestFit="1" customWidth="1"/>
    <col min="7" max="7" width="33.6640625" bestFit="1" customWidth="1"/>
    <col min="8" max="8" width="62.33203125" bestFit="1" customWidth="1"/>
    <col min="9" max="9" width="230.33203125" bestFit="1" customWidth="1"/>
    <col min="10" max="10" width="34.1640625" customWidth="1"/>
    <col min="11" max="11" width="51.83203125" bestFit="1" customWidth="1"/>
    <col min="12" max="12" width="30" bestFit="1" customWidth="1"/>
    <col min="13" max="13" width="132.5" bestFit="1" customWidth="1"/>
  </cols>
  <sheetData>
    <row r="1" spans="1:15" s="4" customFormat="1" x14ac:dyDescent="0.2">
      <c r="A1" s="4" t="s">
        <v>51</v>
      </c>
    </row>
    <row r="2" spans="1:15" x14ac:dyDescent="0.2">
      <c r="E2" t="s">
        <v>27</v>
      </c>
      <c r="F2" s="1" t="s">
        <v>28</v>
      </c>
    </row>
    <row r="3" spans="1:15" x14ac:dyDescent="0.2">
      <c r="A3" t="s">
        <v>26</v>
      </c>
      <c r="B3" t="s">
        <v>90</v>
      </c>
      <c r="C3" t="s">
        <v>160</v>
      </c>
      <c r="D3" t="s">
        <v>91</v>
      </c>
      <c r="E3" t="str">
        <f>CONCATENATE("rna-",D3)</f>
        <v>rna-XM_003612901.4</v>
      </c>
      <c r="F3" t="str">
        <f>D3</f>
        <v>XM_003612901.4</v>
      </c>
    </row>
    <row r="4" spans="1:15" x14ac:dyDescent="0.2">
      <c r="A4" t="s">
        <v>29</v>
      </c>
      <c r="B4" t="s">
        <v>92</v>
      </c>
      <c r="C4" t="s">
        <v>161</v>
      </c>
      <c r="D4" t="s">
        <v>93</v>
      </c>
      <c r="E4" t="str">
        <f t="shared" ref="E4:E8" si="0">CONCATENATE("rna-",D4)</f>
        <v>rna-XM_003612902.4</v>
      </c>
      <c r="F4" t="str">
        <f t="shared" ref="F4:F5" si="1">D4</f>
        <v>XM_003612902.4</v>
      </c>
    </row>
    <row r="5" spans="1:15" x14ac:dyDescent="0.2">
      <c r="D5" t="s">
        <v>94</v>
      </c>
      <c r="E5" t="str">
        <f t="shared" si="0"/>
        <v>rna-XM_003612903.4</v>
      </c>
      <c r="F5" t="str">
        <f t="shared" si="1"/>
        <v>XM_003612903.4</v>
      </c>
    </row>
    <row r="6" spans="1:15" x14ac:dyDescent="0.2">
      <c r="A6" t="s">
        <v>30</v>
      </c>
      <c r="B6" t="s">
        <v>95</v>
      </c>
      <c r="C6" t="s">
        <v>158</v>
      </c>
      <c r="D6" t="s">
        <v>96</v>
      </c>
      <c r="E6" t="str">
        <f t="shared" si="0"/>
        <v>rna-NM_001376225.1</v>
      </c>
      <c r="F6" t="str">
        <f>D6</f>
        <v>NM_001376225.1</v>
      </c>
    </row>
    <row r="7" spans="1:15" x14ac:dyDescent="0.2">
      <c r="A7" t="s">
        <v>31</v>
      </c>
      <c r="B7" t="s">
        <v>97</v>
      </c>
      <c r="C7" t="s">
        <v>159</v>
      </c>
      <c r="D7" t="s">
        <v>162</v>
      </c>
      <c r="E7" t="str">
        <f t="shared" si="0"/>
        <v>rna-NM_001389474.1</v>
      </c>
      <c r="F7" t="str">
        <f>D7</f>
        <v>NM_001389474.1</v>
      </c>
    </row>
    <row r="8" spans="1:15" x14ac:dyDescent="0.2">
      <c r="C8" t="s">
        <v>159</v>
      </c>
      <c r="D8" t="s">
        <v>163</v>
      </c>
      <c r="E8" t="str">
        <f t="shared" si="0"/>
        <v>rna-XM_003612556.4</v>
      </c>
      <c r="F8" t="str">
        <f>D8</f>
        <v>XM_003612556.4</v>
      </c>
    </row>
    <row r="9" spans="1:15" x14ac:dyDescent="0.2">
      <c r="A9" s="2"/>
    </row>
    <row r="11" spans="1:15" x14ac:dyDescent="0.2">
      <c r="A11" s="7" t="s">
        <v>70</v>
      </c>
      <c r="B11" s="7"/>
      <c r="C11" s="7"/>
      <c r="D11" s="7"/>
      <c r="E11" s="7"/>
      <c r="F11" s="7"/>
      <c r="G11" s="7"/>
      <c r="H11" s="7"/>
      <c r="I11" s="7"/>
      <c r="J11" s="12"/>
      <c r="K11" s="7"/>
      <c r="L11" s="7"/>
      <c r="M11" s="7"/>
      <c r="N11" s="7"/>
      <c r="O11" s="7"/>
    </row>
    <row r="12" spans="1:15" x14ac:dyDescent="0.2">
      <c r="F12" s="8" t="s">
        <v>67</v>
      </c>
      <c r="J12" s="13"/>
      <c r="M12" s="3"/>
    </row>
    <row r="13" spans="1:15" x14ac:dyDescent="0.2">
      <c r="A13" t="s">
        <v>33</v>
      </c>
      <c r="B13" t="s">
        <v>32</v>
      </c>
      <c r="C13" t="s">
        <v>1</v>
      </c>
      <c r="D13" t="s">
        <v>0</v>
      </c>
      <c r="E13" t="str">
        <f>CONCATENATE("/",C13,"_",D13,"_","genomic.fna")</f>
        <v>/GCF_001540865.1_ASM154086v1_genomic.fna</v>
      </c>
      <c r="F13" s="5" t="str">
        <f>CONCATENATE(B13,C13,E13," ",H13," ",I13)</f>
        <v>GeMoMa GeMoMaPipeline threads=12 GeMoMa.Score=ReAlign AnnotationFinalizer.r=NO o=true t=~/genomes/ncbi_dataset/data/GCF_001540865.1/GCF_001540865.1_ASM154086v1_genomic.fna outdir=~/gemoma/Mt_Ananas_comosus selected=~/gemoma/Mt_selected a=~/genomes/ncbi_dataset/data/GCF_003473485.1/genomic.gff g=~/genomes/ncbi_dataset/data/GCF_003473485.1/GCF_003473485.1_MtrunA17r5.0-ANR_genomic.fna GAF.f="start=='M' and (isNaN(score) or score/aa&gt;=0.75)"</v>
      </c>
      <c r="G13" t="s">
        <v>177</v>
      </c>
      <c r="H13" t="str">
        <f>CONCATENATE(G13,A13)</f>
        <v>outdir=~/gemoma/Mt_Ananas_comosus</v>
      </c>
      <c r="I13" t="s">
        <v>193</v>
      </c>
      <c r="J13" s="13"/>
    </row>
    <row r="14" spans="1:15" x14ac:dyDescent="0.2">
      <c r="A14" t="s">
        <v>34</v>
      </c>
      <c r="B14" t="s">
        <v>32</v>
      </c>
      <c r="C14" t="s">
        <v>2</v>
      </c>
      <c r="D14" t="s">
        <v>3</v>
      </c>
      <c r="E14" t="str">
        <f t="shared" ref="E14:E24" si="2">CONCATENATE("/",C14,"_",D14,"_","genomic.fna")</f>
        <v>/GCA_028015225.1_CAF_CaMyos_1.0_genomic.fna</v>
      </c>
      <c r="F14" s="5" t="str">
        <f t="shared" ref="F14:F36" si="3">CONCATENATE(B14,C14,E14," ",H14," ",I14)</f>
        <v>GeMoMa GeMoMaPipeline threads=12 GeMoMa.Score=ReAlign AnnotationFinalizer.r=NO o=true t=~/genomes/ncbi_dataset/data/GCA_028015225.1/GCA_028015225.1_CAF_CaMyos_1.0_genomic.fna outdir=~/gemoma/Mt_Carex_myosuroides selected=~/gemoma/Mt_selected a=~/genomes/ncbi_dataset/data/GCF_003473485.1/genomic.gff g=~/genomes/ncbi_dataset/data/GCF_003473485.1/GCF_003473485.1_MtrunA17r5.0-ANR_genomic.fna GAF.f="start=='M' and (isNaN(score) or score/aa&gt;=0.75)"</v>
      </c>
      <c r="G14" t="s">
        <v>177</v>
      </c>
      <c r="H14" t="str">
        <f t="shared" ref="H14:H36" si="4">CONCATENATE(G14,A14)</f>
        <v>outdir=~/gemoma/Mt_Carex_myosuroides</v>
      </c>
      <c r="I14" t="s">
        <v>193</v>
      </c>
      <c r="J14" s="13"/>
    </row>
    <row r="15" spans="1:15" x14ac:dyDescent="0.2">
      <c r="A15" t="s">
        <v>35</v>
      </c>
      <c r="B15" t="s">
        <v>32</v>
      </c>
      <c r="C15" t="s">
        <v>4</v>
      </c>
      <c r="D15" t="s">
        <v>5</v>
      </c>
      <c r="E15" t="str">
        <f t="shared" si="2"/>
        <v>/GCA_019914945.1_TyphaL0001_genomic.fna</v>
      </c>
      <c r="F15" s="5" t="str">
        <f t="shared" si="3"/>
        <v>GeMoMa GeMoMaPipeline threads=12 GeMoMa.Score=ReAlign AnnotationFinalizer.r=NO o=true t=~/genomes/ncbi_dataset/data/GCA_019914945.1/GCA_019914945.1_TyphaL0001_genomic.fna outdir=~/gemoma/Mt_Typha_latifolia selected=~/gemoma/Mt_selected a=~/genomes/ncbi_dataset/data/GCF_003473485.1/genomic.gff g=~/genomes/ncbi_dataset/data/GCF_003473485.1/GCF_003473485.1_MtrunA17r5.0-ANR_genomic.fna GAF.f="start=='M' and (isNaN(score) or score/aa&gt;=0.75)"</v>
      </c>
      <c r="G15" t="s">
        <v>177</v>
      </c>
      <c r="H15" t="str">
        <f t="shared" si="4"/>
        <v>outdir=~/gemoma/Mt_Typha_latifolia</v>
      </c>
      <c r="I15" t="s">
        <v>193</v>
      </c>
    </row>
    <row r="16" spans="1:15" x14ac:dyDescent="0.2">
      <c r="A16" t="s">
        <v>36</v>
      </c>
      <c r="B16" t="s">
        <v>32</v>
      </c>
      <c r="C16" t="s">
        <v>6</v>
      </c>
      <c r="D16" t="s">
        <v>7</v>
      </c>
      <c r="E16" t="str">
        <f t="shared" si="2"/>
        <v>/GCA_011114355.1_ASM1111435v1_genomic.fna</v>
      </c>
      <c r="F16" s="5" t="str">
        <f t="shared" si="3"/>
        <v>GeMoMa GeMoMaPipeline threads=12 GeMoMa.Score=ReAlign AnnotationFinalizer.r=NO o=true t=~/genomes/ncbi_dataset/data/GCA_011114355.1/GCA_011114355.1_ASM1111435v1_genomic.fna outdir=~/gemoma/Mt_Carex_littledalei selected=~/gemoma/Mt_selected a=~/genomes/ncbi_dataset/data/GCF_003473485.1/genomic.gff g=~/genomes/ncbi_dataset/data/GCF_003473485.1/GCF_003473485.1_MtrunA17r5.0-ANR_genomic.fna GAF.f="start=='M' and (isNaN(score) or score/aa&gt;=0.75)"</v>
      </c>
      <c r="G16" t="s">
        <v>177</v>
      </c>
      <c r="H16" t="str">
        <f t="shared" si="4"/>
        <v>outdir=~/gemoma/Mt_Carex_littledalei</v>
      </c>
      <c r="I16" t="s">
        <v>193</v>
      </c>
    </row>
    <row r="17" spans="1:15" x14ac:dyDescent="0.2">
      <c r="A17" t="s">
        <v>37</v>
      </c>
      <c r="B17" t="s">
        <v>32</v>
      </c>
      <c r="C17" t="s">
        <v>8</v>
      </c>
      <c r="D17" t="s">
        <v>9</v>
      </c>
      <c r="E17" t="str">
        <f t="shared" si="2"/>
        <v>/GCA_031770325.1_CAF_BolPas_1.0_genomic.fna</v>
      </c>
      <c r="F17" s="5" t="str">
        <f t="shared" si="3"/>
        <v>GeMoMa GeMoMaPipeline threads=12 GeMoMa.Score=ReAlign AnnotationFinalizer.r=NO o=true t=~/genomes/ncbi_dataset/data/GCA_031770325.1/GCA_031770325.1_CAF_BolPas_1.0_genomic.fna outdir=~/gemoma/Mt_Bolboschoenus_planiculmis selected=~/gemoma/Mt_selected a=~/genomes/ncbi_dataset/data/GCF_003473485.1/genomic.gff g=~/genomes/ncbi_dataset/data/GCF_003473485.1/GCF_003473485.1_MtrunA17r5.0-ANR_genomic.fna GAF.f="start=='M' and (isNaN(score) or score/aa&gt;=0.75)"</v>
      </c>
      <c r="G17" t="s">
        <v>177</v>
      </c>
      <c r="H17" t="str">
        <f t="shared" si="4"/>
        <v>outdir=~/gemoma/Mt_Bolboschoenus_planiculmis</v>
      </c>
      <c r="I17" t="s">
        <v>193</v>
      </c>
    </row>
    <row r="18" spans="1:15" x14ac:dyDescent="0.2">
      <c r="A18" t="s">
        <v>38</v>
      </c>
      <c r="B18" t="s">
        <v>32</v>
      </c>
      <c r="C18" t="s">
        <v>10</v>
      </c>
      <c r="D18" t="s">
        <v>11</v>
      </c>
      <c r="E18" t="str">
        <f t="shared" si="2"/>
        <v>/GCA_027725995.1_MPIPZ_rhyTen1m_1_genomic.fna</v>
      </c>
      <c r="F18" s="5" t="str">
        <f t="shared" si="3"/>
        <v>GeMoMa GeMoMaPipeline threads=12 GeMoMa.Score=ReAlign AnnotationFinalizer.r=NO o=true t=~/genomes/ncbi_dataset/data/GCA_027725995.1/GCA_027725995.1_MPIPZ_rhyTen1m_1_genomic.fna outdir=~/gemoma/Mt_Rhynchospora_tenuis selected=~/gemoma/Mt_selected a=~/genomes/ncbi_dataset/data/GCF_003473485.1/genomic.gff g=~/genomes/ncbi_dataset/data/GCF_003473485.1/GCF_003473485.1_MtrunA17r5.0-ANR_genomic.fna GAF.f="start=='M' and (isNaN(score) or score/aa&gt;=0.75)"</v>
      </c>
      <c r="G18" t="s">
        <v>177</v>
      </c>
      <c r="H18" t="str">
        <f t="shared" si="4"/>
        <v>outdir=~/gemoma/Mt_Rhynchospora_tenuis</v>
      </c>
      <c r="I18" t="s">
        <v>193</v>
      </c>
    </row>
    <row r="19" spans="1:15" x14ac:dyDescent="0.2">
      <c r="A19" t="s">
        <v>39</v>
      </c>
      <c r="B19" t="s">
        <v>32</v>
      </c>
      <c r="C19" t="s">
        <v>12</v>
      </c>
      <c r="D19" t="s">
        <v>13</v>
      </c>
      <c r="E19" t="str">
        <f t="shared" si="2"/>
        <v>/GCA_028095005.1_MPIPZ_rhyPub2m_2.0_genomic.fna</v>
      </c>
      <c r="F19" s="5" t="str">
        <f t="shared" si="3"/>
        <v>GeMoMa GeMoMaPipeline threads=12 GeMoMa.Score=ReAlign AnnotationFinalizer.r=NO o=true t=~/genomes/ncbi_dataset/data/GCA_028095005.1/GCA_028095005.1_MPIPZ_rhyPub2m_2.0_genomic.fna outdir=~/gemoma/Mt_Rhynchospora_pubera selected=~/gemoma/Mt_selected a=~/genomes/ncbi_dataset/data/GCF_003473485.1/genomic.gff g=~/genomes/ncbi_dataset/data/GCF_003473485.1/GCF_003473485.1_MtrunA17r5.0-ANR_genomic.fna GAF.f="start=='M' and (isNaN(score) or score/aa&gt;=0.75)"</v>
      </c>
      <c r="G19" t="s">
        <v>177</v>
      </c>
      <c r="H19" t="str">
        <f t="shared" si="4"/>
        <v>outdir=~/gemoma/Mt_Rhynchospora_pubera</v>
      </c>
      <c r="I19" t="s">
        <v>193</v>
      </c>
    </row>
    <row r="20" spans="1:15" x14ac:dyDescent="0.2">
      <c r="A20" t="s">
        <v>40</v>
      </c>
      <c r="B20" t="s">
        <v>32</v>
      </c>
      <c r="C20" t="s">
        <v>14</v>
      </c>
      <c r="D20" t="s">
        <v>15</v>
      </c>
      <c r="E20" t="str">
        <f t="shared" si="2"/>
        <v>/GCA_027562975.1_MPIPZ_rhyBre1m_1.0_genomic.fna</v>
      </c>
      <c r="F20" s="5" t="str">
        <f t="shared" si="3"/>
        <v>GeMoMa GeMoMaPipeline threads=12 GeMoMa.Score=ReAlign AnnotationFinalizer.r=NO o=true t=~/genomes/ncbi_dataset/data/GCA_027562975.1/GCA_027562975.1_MPIPZ_rhyBre1m_1.0_genomic.fna outdir=~/gemoma/Mt_Rhynchospora_breviuscula selected=~/gemoma/Mt_selected a=~/genomes/ncbi_dataset/data/GCF_003473485.1/genomic.gff g=~/genomes/ncbi_dataset/data/GCF_003473485.1/GCF_003473485.1_MtrunA17r5.0-ANR_genomic.fna GAF.f="start=='M' and (isNaN(score) or score/aa&gt;=0.75)"</v>
      </c>
      <c r="G20" t="s">
        <v>177</v>
      </c>
      <c r="H20" t="str">
        <f t="shared" si="4"/>
        <v>outdir=~/gemoma/Mt_Rhynchospora_breviuscula</v>
      </c>
      <c r="I20" t="s">
        <v>193</v>
      </c>
    </row>
    <row r="21" spans="1:15" x14ac:dyDescent="0.2">
      <c r="A21" t="s">
        <v>41</v>
      </c>
      <c r="B21" t="s">
        <v>32</v>
      </c>
      <c r="C21" t="s">
        <v>16</v>
      </c>
      <c r="D21" t="s">
        <v>17</v>
      </c>
      <c r="E21" t="str">
        <f t="shared" si="2"/>
        <v>/GCA_030179965.1_Ces_v0.1_genomic.fna</v>
      </c>
      <c r="F21" s="5" t="str">
        <f t="shared" si="3"/>
        <v>GeMoMa GeMoMaPipeline threads=12 GeMoMa.Score=ReAlign AnnotationFinalizer.r=NO o=true t=~/genomes/ncbi_dataset/data/GCA_030179965.1/GCA_030179965.1_Ces_v0.1_genomic.fna outdir=~/gemoma/Mt_Cyperus_esculentus selected=~/gemoma/Mt_selected a=~/genomes/ncbi_dataset/data/GCF_003473485.1/genomic.gff g=~/genomes/ncbi_dataset/data/GCF_003473485.1/GCF_003473485.1_MtrunA17r5.0-ANR_genomic.fna GAF.f="start=='M' and (isNaN(score) or score/aa&gt;=0.75)"</v>
      </c>
      <c r="G21" t="s">
        <v>177</v>
      </c>
      <c r="H21" t="str">
        <f t="shared" si="4"/>
        <v>outdir=~/gemoma/Mt_Cyperus_esculentus</v>
      </c>
      <c r="I21" t="s">
        <v>193</v>
      </c>
    </row>
    <row r="22" spans="1:15" x14ac:dyDescent="0.2">
      <c r="A22" t="s">
        <v>42</v>
      </c>
      <c r="B22" t="s">
        <v>32</v>
      </c>
      <c r="C22" t="s">
        <v>18</v>
      </c>
      <c r="D22" t="s">
        <v>19</v>
      </c>
      <c r="E22" t="str">
        <f t="shared" si="2"/>
        <v>/GCA_025461125.1_ASM2546112v1_genomic.fna</v>
      </c>
      <c r="F22" s="5" t="str">
        <f t="shared" si="3"/>
        <v>GeMoMa GeMoMaPipeline threads=12 GeMoMa.Score=ReAlign AnnotationFinalizer.r=NO o=true t=~/genomes/ncbi_dataset/data/GCA_025461125.1/GCA_025461125.1_ASM2546112v1_genomic.fna outdir=~/gemoma/Mt_Carex_kokanica selected=~/gemoma/Mt_selected a=~/genomes/ncbi_dataset/data/GCF_003473485.1/genomic.gff g=~/genomes/ncbi_dataset/data/GCF_003473485.1/GCF_003473485.1_MtrunA17r5.0-ANR_genomic.fna GAF.f="start=='M' and (isNaN(score) or score/aa&gt;=0.75)"</v>
      </c>
      <c r="G22" t="s">
        <v>177</v>
      </c>
      <c r="H22" t="str">
        <f t="shared" si="4"/>
        <v>outdir=~/gemoma/Mt_Carex_kokanica</v>
      </c>
      <c r="I22" t="s">
        <v>193</v>
      </c>
    </row>
    <row r="23" spans="1:15" x14ac:dyDescent="0.2">
      <c r="A23" t="s">
        <v>43</v>
      </c>
      <c r="B23" t="s">
        <v>32</v>
      </c>
      <c r="C23" t="s">
        <v>20</v>
      </c>
      <c r="D23" t="s">
        <v>21</v>
      </c>
      <c r="E23" t="str">
        <f t="shared" si="2"/>
        <v>/GCA_024447775.1_MSU_CaCris_1.0_genomic.fna</v>
      </c>
      <c r="F23" s="5" t="str">
        <f t="shared" si="3"/>
        <v>GeMoMa GeMoMaPipeline threads=12 GeMoMa.Score=ReAlign AnnotationFinalizer.r=NO o=true t=~/genomes/ncbi_dataset/data/GCA_024447775.1/GCA_024447775.1_MSU_CaCris_1.0_genomic.fna outdir=~/gemoma/Mt_Carex_cristatella selected=~/gemoma/Mt_selected a=~/genomes/ncbi_dataset/data/GCF_003473485.1/genomic.gff g=~/genomes/ncbi_dataset/data/GCF_003473485.1/GCF_003473485.1_MtrunA17r5.0-ANR_genomic.fna GAF.f="start=='M' and (isNaN(score) or score/aa&gt;=0.75)"</v>
      </c>
      <c r="G23" t="s">
        <v>177</v>
      </c>
      <c r="H23" t="str">
        <f t="shared" si="4"/>
        <v>outdir=~/gemoma/Mt_Carex_cristatella</v>
      </c>
      <c r="I23" t="s">
        <v>193</v>
      </c>
    </row>
    <row r="24" spans="1:15" s="6" customFormat="1" x14ac:dyDescent="0.2">
      <c r="A24" t="s">
        <v>44</v>
      </c>
      <c r="B24" t="s">
        <v>32</v>
      </c>
      <c r="C24" t="s">
        <v>22</v>
      </c>
      <c r="D24" t="s">
        <v>23</v>
      </c>
      <c r="E24" t="str">
        <f t="shared" si="2"/>
        <v>/GCA_024447655.1_MSU_CaScop_1.0_genomic.fna</v>
      </c>
      <c r="F24" s="5" t="str">
        <f t="shared" si="3"/>
        <v>GeMoMa GeMoMaPipeline threads=12 GeMoMa.Score=ReAlign AnnotationFinalizer.r=NO o=true t=~/genomes/ncbi_dataset/data/GCA_024447655.1/GCA_024447655.1_MSU_CaScop_1.0_genomic.fna outdir=~/gemoma/Mt_Carex_scoparia selected=~/gemoma/Mt_selected a=~/genomes/ncbi_dataset/data/GCF_003473485.1/genomic.gff g=~/genomes/ncbi_dataset/data/GCF_003473485.1/GCF_003473485.1_MtrunA17r5.0-ANR_genomic.fna GAF.f="start=='M' and (isNaN(score) or score/aa&gt;=0.75)"</v>
      </c>
      <c r="G24" t="s">
        <v>177</v>
      </c>
      <c r="H24" t="str">
        <f t="shared" si="4"/>
        <v>outdir=~/gemoma/Mt_Carex_scoparia</v>
      </c>
      <c r="I24" t="s">
        <v>193</v>
      </c>
      <c r="J24"/>
      <c r="K24"/>
      <c r="L24"/>
      <c r="M24"/>
      <c r="N24"/>
      <c r="O24"/>
    </row>
    <row r="25" spans="1:15" x14ac:dyDescent="0.2">
      <c r="A25" t="s">
        <v>45</v>
      </c>
      <c r="B25" t="s">
        <v>32</v>
      </c>
      <c r="C25" t="s">
        <v>24</v>
      </c>
      <c r="D25" t="s">
        <v>25</v>
      </c>
      <c r="E25" t="str">
        <f>CONCATENATE("/",C25,"_",D25,"_","genomic.fna")</f>
        <v>/GCA_025461045.1_ASM2546104v1_genomic.fna</v>
      </c>
      <c r="F25" s="5" t="str">
        <f t="shared" si="3"/>
        <v>GeMoMa GeMoMaPipeline threads=12 GeMoMa.Score=ReAlign AnnotationFinalizer.r=NO o=true t=~/genomes/ncbi_dataset/data/GCA_025461045.1/GCA_025461045.1_ASM2546104v1_genomic.fna outdir=~/gemoma/Mt_Carex_parvula selected=~/gemoma/Mt_selected a=~/genomes/ncbi_dataset/data/GCF_003473485.1/genomic.gff g=~/genomes/ncbi_dataset/data/GCF_003473485.1/GCF_003473485.1_MtrunA17r5.0-ANR_genomic.fna GAF.f="start=='M' and (isNaN(score) or score/aa&gt;=0.75)"</v>
      </c>
      <c r="G25" t="s">
        <v>177</v>
      </c>
      <c r="H25" t="str">
        <f t="shared" si="4"/>
        <v>outdir=~/gemoma/Mt_Carex_parvula</v>
      </c>
      <c r="I25" t="s">
        <v>193</v>
      </c>
    </row>
    <row r="26" spans="1:15" s="4" customFormat="1" x14ac:dyDescent="0.2">
      <c r="A26" t="s">
        <v>63</v>
      </c>
      <c r="B26" t="s">
        <v>32</v>
      </c>
      <c r="C26" t="s">
        <v>58</v>
      </c>
      <c r="D26" t="s">
        <v>59</v>
      </c>
      <c r="E26" t="str">
        <f t="shared" ref="E26:E27" si="5">CONCATENATE("/",C26,"_",D26,"_","genomic.fna")</f>
        <v>/GCA_027726005.1_MPIPZ_junEff1m_1_genomic.fna</v>
      </c>
      <c r="F26" s="5" t="str">
        <f t="shared" si="3"/>
        <v>GeMoMa GeMoMaPipeline threads=12 GeMoMa.Score=ReAlign AnnotationFinalizer.r=NO o=true t=~/genomes/ncbi_dataset/data/GCA_027726005.1/GCA_027726005.1_MPIPZ_junEff1m_1_genomic.fna outdir=~/gemoma/Mt_Juncus_effusus selected=~/gemoma/Mt_selected a=~/genomes/ncbi_dataset/data/GCF_003473485.1/genomic.gff g=~/genomes/ncbi_dataset/data/GCF_003473485.1/GCF_003473485.1_MtrunA17r5.0-ANR_genomic.fna GAF.f="start=='M' and (isNaN(score) or score/aa&gt;=0.75)"</v>
      </c>
      <c r="G26" t="s">
        <v>177</v>
      </c>
      <c r="H26" t="str">
        <f t="shared" si="4"/>
        <v>outdir=~/gemoma/Mt_Juncus_effusus</v>
      </c>
      <c r="I26" t="s">
        <v>193</v>
      </c>
      <c r="J26"/>
      <c r="K26"/>
      <c r="L26"/>
      <c r="M26"/>
      <c r="N26"/>
      <c r="O26"/>
    </row>
    <row r="27" spans="1:15" x14ac:dyDescent="0.2">
      <c r="A27" t="s">
        <v>64</v>
      </c>
      <c r="B27" t="s">
        <v>32</v>
      </c>
      <c r="C27" t="s">
        <v>60</v>
      </c>
      <c r="D27" t="s">
        <v>57</v>
      </c>
      <c r="E27" t="str">
        <f t="shared" si="5"/>
        <v>/GCA_946800325.1_lpLuzSylv1.1_genomic.fna</v>
      </c>
      <c r="F27" s="5" t="str">
        <f t="shared" si="3"/>
        <v>GeMoMa GeMoMaPipeline threads=12 GeMoMa.Score=ReAlign AnnotationFinalizer.r=NO o=true t=~/genomes/ncbi_dataset/data/GCA_946800325.1/GCA_946800325.1_lpLuzSylv1.1_genomic.fna outdir=~/gemoma/Mt_Luzula_sylvatica selected=~/gemoma/Mt_selected a=~/genomes/ncbi_dataset/data/GCF_003473485.1/genomic.gff g=~/genomes/ncbi_dataset/data/GCF_003473485.1/GCF_003473485.1_MtrunA17r5.0-ANR_genomic.fna GAF.f="start=='M' and (isNaN(score) or score/aa&gt;=0.75)"</v>
      </c>
      <c r="G27" t="s">
        <v>177</v>
      </c>
      <c r="H27" t="str">
        <f t="shared" si="4"/>
        <v>outdir=~/gemoma/Mt_Luzula_sylvatica</v>
      </c>
      <c r="I27" t="s">
        <v>193</v>
      </c>
    </row>
    <row r="28" spans="1:15" x14ac:dyDescent="0.2">
      <c r="A28" t="s">
        <v>65</v>
      </c>
      <c r="B28" t="s">
        <v>32</v>
      </c>
      <c r="C28" t="s">
        <v>61</v>
      </c>
      <c r="D28" t="s">
        <v>62</v>
      </c>
      <c r="E28" t="str">
        <f>CONCATENATE("/",C28,"_",D28,"_","genomic.fna")</f>
        <v>/GCA_024447665.1_MSU_JuInfl_1.0_genomic.fna</v>
      </c>
      <c r="F28" s="5" t="str">
        <f t="shared" si="3"/>
        <v>GeMoMa GeMoMaPipeline threads=12 GeMoMa.Score=ReAlign AnnotationFinalizer.r=NO o=true t=~/genomes/ncbi_dataset/data/GCA_024447665.1/GCA_024447665.1_MSU_JuInfl_1.0_genomic.fna outdir=~/gemoma/Mt_Juncus_inflexus selected=~/gemoma/Mt_selected a=~/genomes/ncbi_dataset/data/GCF_003473485.1/genomic.gff g=~/genomes/ncbi_dataset/data/GCF_003473485.1/GCF_003473485.1_MtrunA17r5.0-ANR_genomic.fna GAF.f="start=='M' and (isNaN(score) or score/aa&gt;=0.75)"</v>
      </c>
      <c r="G28" t="s">
        <v>177</v>
      </c>
      <c r="H28" t="str">
        <f t="shared" si="4"/>
        <v>outdir=~/gemoma/Mt_Juncus_inflexus</v>
      </c>
      <c r="I28" t="s">
        <v>193</v>
      </c>
    </row>
    <row r="29" spans="1:15" x14ac:dyDescent="0.2">
      <c r="A29" t="s">
        <v>138</v>
      </c>
      <c r="B29" t="s">
        <v>32</v>
      </c>
      <c r="C29" t="s">
        <v>115</v>
      </c>
      <c r="D29" t="s">
        <v>98</v>
      </c>
      <c r="E29" t="str">
        <f>CONCATENATE("/",C29,"_",D29,"_","genomic.fna")</f>
        <v>/GCA_002319775.1_Ft1.0_genomic.fna</v>
      </c>
      <c r="F29" s="5" t="str">
        <f t="shared" si="3"/>
        <v>GeMoMa GeMoMaPipeline threads=12 GeMoMa.Score=ReAlign AnnotationFinalizer.r=NO o=true t=~/genomes/ncbi_dataset/data/GCA_002319775.1/GCA_002319775.1_Ft1.0_genomic.fna outdir=~/gemoma/Mt_Fagopyrum_tataricum selected=~/gemoma/Mt_selected a=~/genomes/ncbi_dataset/data/GCF_003473485.1/genomic.gff g=~/genomes/ncbi_dataset/data/GCF_003473485.1/GCF_003473485.1_MtrunA17r5.0-ANR_genomic.fna GAF.f="start=='M' and (isNaN(score) or score/aa&gt;=0.75)"</v>
      </c>
      <c r="G29" t="s">
        <v>177</v>
      </c>
      <c r="H29" t="str">
        <f t="shared" si="4"/>
        <v>outdir=~/gemoma/Mt_Fagopyrum_tataricum</v>
      </c>
      <c r="I29" t="s">
        <v>193</v>
      </c>
    </row>
    <row r="30" spans="1:15" x14ac:dyDescent="0.2">
      <c r="A30" t="s">
        <v>139</v>
      </c>
      <c r="B30" t="s">
        <v>32</v>
      </c>
      <c r="C30" t="s">
        <v>116</v>
      </c>
      <c r="D30" t="s">
        <v>99</v>
      </c>
      <c r="E30" t="str">
        <f t="shared" ref="E30:E31" si="6">CONCATENATE("/",C30,"_",D30,"_","genomic.fna")</f>
        <v>/GCA_023091065.1_ASM2309106v1_genomic.fna</v>
      </c>
      <c r="F30" s="5" t="str">
        <f t="shared" si="3"/>
        <v>GeMoMa GeMoMaPipeline threads=12 GeMoMa.Score=ReAlign AnnotationFinalizer.r=NO o=true t=~/genomes/ncbi_dataset/data/GCA_023091065.1/GCA_023091065.1_ASM2309106v1_genomic.fna outdir=~/gemoma/Mt_Dianthus_caryophyllus selected=~/gemoma/Mt_selected a=~/genomes/ncbi_dataset/data/GCF_003473485.1/genomic.gff g=~/genomes/ncbi_dataset/data/GCF_003473485.1/GCF_003473485.1_MtrunA17r5.0-ANR_genomic.fna GAF.f="start=='M' and (isNaN(score) or score/aa&gt;=0.75)"</v>
      </c>
      <c r="G30" t="s">
        <v>177</v>
      </c>
      <c r="H30" t="str">
        <f t="shared" si="4"/>
        <v>outdir=~/gemoma/Mt_Dianthus_caryophyllus</v>
      </c>
      <c r="I30" t="s">
        <v>193</v>
      </c>
    </row>
    <row r="31" spans="1:15" x14ac:dyDescent="0.2">
      <c r="A31" t="s">
        <v>140</v>
      </c>
      <c r="B31" t="s">
        <v>32</v>
      </c>
      <c r="C31" t="s">
        <v>117</v>
      </c>
      <c r="D31" t="s">
        <v>100</v>
      </c>
      <c r="E31" t="str">
        <f t="shared" si="6"/>
        <v>/GCF_026212465.1_ASM2621246v1_genomic.fna</v>
      </c>
      <c r="F31" s="5" t="str">
        <f t="shared" si="3"/>
        <v>GeMoMa GeMoMaPipeline threads=12 GeMoMa.Score=ReAlign AnnotationFinalizer.r=NO o=true t=~/genomes/ncbi_dataset/data/GCF_026212465.1/GCF_026212465.1_ASM2621246v1_genomic.fna outdir=~/gemoma/Mt_Amaranthus_tricolor selected=~/gemoma/Mt_selected a=~/genomes/ncbi_dataset/data/GCF_003473485.1/genomic.gff g=~/genomes/ncbi_dataset/data/GCF_003473485.1/GCF_003473485.1_MtrunA17r5.0-ANR_genomic.fna GAF.f="start=='M' and (isNaN(score) or score/aa&gt;=0.75)"</v>
      </c>
      <c r="G31" t="s">
        <v>177</v>
      </c>
      <c r="H31" t="str">
        <f t="shared" si="4"/>
        <v>outdir=~/gemoma/Mt_Amaranthus_tricolor</v>
      </c>
      <c r="I31" t="s">
        <v>193</v>
      </c>
    </row>
    <row r="32" spans="1:15" x14ac:dyDescent="0.2">
      <c r="A32" t="s">
        <v>141</v>
      </c>
      <c r="B32" t="s">
        <v>32</v>
      </c>
      <c r="C32" t="s">
        <v>118</v>
      </c>
      <c r="D32" t="s">
        <v>101</v>
      </c>
      <c r="E32" t="str">
        <f>CONCATENATE("/",C32,"_",D32,"_","genomic.fna")</f>
        <v>/GCA_029255685.2_ASM2925568v2_genomic.fna</v>
      </c>
      <c r="F32" s="5" t="str">
        <f t="shared" si="3"/>
        <v>GeMoMa GeMoMaPipeline threads=12 GeMoMa.Score=ReAlign AnnotationFinalizer.r=NO o=true t=~/genomes/ncbi_dataset/data/GCA_029255685.2/GCA_029255685.2_ASM2925568v2_genomic.fna outdir=~/gemoma/Mt_Silene_conica selected=~/gemoma/Mt_selected a=~/genomes/ncbi_dataset/data/GCF_003473485.1/genomic.gff g=~/genomes/ncbi_dataset/data/GCF_003473485.1/GCF_003473485.1_MtrunA17r5.0-ANR_genomic.fna GAF.f="start=='M' and (isNaN(score) or score/aa&gt;=0.75)"</v>
      </c>
      <c r="G32" t="s">
        <v>177</v>
      </c>
      <c r="H32" t="str">
        <f t="shared" si="4"/>
        <v>outdir=~/gemoma/Mt_Silene_conica</v>
      </c>
      <c r="I32" t="s">
        <v>193</v>
      </c>
    </row>
    <row r="33" spans="1:9" x14ac:dyDescent="0.2">
      <c r="A33" t="s">
        <v>142</v>
      </c>
      <c r="B33" t="s">
        <v>32</v>
      </c>
      <c r="C33" t="s">
        <v>119</v>
      </c>
      <c r="D33" t="s">
        <v>102</v>
      </c>
      <c r="E33" t="str">
        <f t="shared" ref="E33:E36" si="7">CONCATENATE("/",C33,"_",D33,"_","genomic.fna")</f>
        <v>/GCA_958450325.1_dcAgrGith1.1_genomic.fna</v>
      </c>
      <c r="F33" s="5" t="str">
        <f t="shared" si="3"/>
        <v>GeMoMa GeMoMaPipeline threads=12 GeMoMa.Score=ReAlign AnnotationFinalizer.r=NO o=true t=~/genomes/ncbi_dataset/data/GCA_958450325.1/GCA_958450325.1_dcAgrGith1.1_genomic.fna outdir=~/gemoma/Mt_Agrostemma_githago selected=~/gemoma/Mt_selected a=~/genomes/ncbi_dataset/data/GCF_003473485.1/genomic.gff g=~/genomes/ncbi_dataset/data/GCF_003473485.1/GCF_003473485.1_MtrunA17r5.0-ANR_genomic.fna GAF.f="start=='M' and (isNaN(score) or score/aa&gt;=0.75)"</v>
      </c>
      <c r="G33" t="s">
        <v>177</v>
      </c>
      <c r="H33" t="str">
        <f t="shared" si="4"/>
        <v>outdir=~/gemoma/Mt_Agrostemma_githago</v>
      </c>
      <c r="I33" t="s">
        <v>193</v>
      </c>
    </row>
    <row r="34" spans="1:9" x14ac:dyDescent="0.2">
      <c r="A34" t="s">
        <v>143</v>
      </c>
      <c r="B34" t="s">
        <v>32</v>
      </c>
      <c r="C34" t="s">
        <v>120</v>
      </c>
      <c r="D34" t="s">
        <v>103</v>
      </c>
      <c r="E34" t="str">
        <f t="shared" si="7"/>
        <v>/GCA_934048045.1_dcPolAvic1.1_genomic.fna</v>
      </c>
      <c r="F34" s="5" t="str">
        <f t="shared" si="3"/>
        <v>GeMoMa GeMoMaPipeline threads=12 GeMoMa.Score=ReAlign AnnotationFinalizer.r=NO o=true t=~/genomes/ncbi_dataset/data/GCA_934048045.1/GCA_934048045.1_dcPolAvic1.1_genomic.fna outdir=~/gemoma/Mt_Polygonum_aviculare selected=~/gemoma/Mt_selected a=~/genomes/ncbi_dataset/data/GCF_003473485.1/genomic.gff g=~/genomes/ncbi_dataset/data/GCF_003473485.1/GCF_003473485.1_MtrunA17r5.0-ANR_genomic.fna GAF.f="start=='M' and (isNaN(score) or score/aa&gt;=0.75)"</v>
      </c>
      <c r="G34" t="s">
        <v>177</v>
      </c>
      <c r="H34" t="str">
        <f t="shared" si="4"/>
        <v>outdir=~/gemoma/Mt_Polygonum_aviculare</v>
      </c>
      <c r="I34" t="s">
        <v>193</v>
      </c>
    </row>
    <row r="35" spans="1:9" x14ac:dyDescent="0.2">
      <c r="A35" t="s">
        <v>144</v>
      </c>
      <c r="B35" t="s">
        <v>32</v>
      </c>
      <c r="C35" t="s">
        <v>121</v>
      </c>
      <c r="D35" t="s">
        <v>104</v>
      </c>
      <c r="E35" t="str">
        <f t="shared" si="7"/>
        <v>/GCA_963457585.1_dcSpeBocc1.1_genomic.fna</v>
      </c>
      <c r="F35" s="5" t="str">
        <f t="shared" si="3"/>
        <v>GeMoMa GeMoMaPipeline threads=12 GeMoMa.Score=ReAlign AnnotationFinalizer.r=NO o=true t=~/genomes/ncbi_dataset/data/GCA_963457585.1/GCA_963457585.1_dcSpeBocc1.1_genomic.fna outdir=~/gemoma/Mt_Spergularia_bocconei selected=~/gemoma/Mt_selected a=~/genomes/ncbi_dataset/data/GCF_003473485.1/genomic.gff g=~/genomes/ncbi_dataset/data/GCF_003473485.1/GCF_003473485.1_MtrunA17r5.0-ANR_genomic.fna GAF.f="start=='M' and (isNaN(score) or score/aa&gt;=0.75)"</v>
      </c>
      <c r="G35" t="s">
        <v>177</v>
      </c>
      <c r="H35" t="str">
        <f t="shared" si="4"/>
        <v>outdir=~/gemoma/Mt_Spergularia_bocconei</v>
      </c>
      <c r="I35" t="s">
        <v>193</v>
      </c>
    </row>
    <row r="36" spans="1:9" x14ac:dyDescent="0.2">
      <c r="A36" t="s">
        <v>145</v>
      </c>
      <c r="B36" t="s">
        <v>32</v>
      </c>
      <c r="C36" t="s">
        <v>122</v>
      </c>
      <c r="D36" t="s">
        <v>105</v>
      </c>
      <c r="E36" t="str">
        <f t="shared" si="7"/>
        <v>/GCF_001683475.1_ASM168347v1_genomic.fna</v>
      </c>
      <c r="F36" s="5" t="str">
        <f t="shared" si="3"/>
        <v>GeMoMa GeMoMaPipeline threads=12 GeMoMa.Score=ReAlign AnnotationFinalizer.r=NO o=true t=~/genomes/ncbi_dataset/data/GCF_001683475.1/GCF_001683475.1_ASM168347v1_genomic.fna outdir=~/gemoma/Mt_Chenopodium_quinoa selected=~/gemoma/Mt_selected a=~/genomes/ncbi_dataset/data/GCF_003473485.1/genomic.gff g=~/genomes/ncbi_dataset/data/GCF_003473485.1/GCF_003473485.1_MtrunA17r5.0-ANR_genomic.fna GAF.f="start=='M' and (isNaN(score) or score/aa&gt;=0.75)"</v>
      </c>
      <c r="G36" t="s">
        <v>177</v>
      </c>
      <c r="H36" t="str">
        <f t="shared" si="4"/>
        <v>outdir=~/gemoma/Mt_Chenopodium_quinoa</v>
      </c>
      <c r="I36" t="s">
        <v>193</v>
      </c>
    </row>
    <row r="37" spans="1:9" x14ac:dyDescent="0.2">
      <c r="A37" t="s">
        <v>146</v>
      </c>
      <c r="B37" t="s">
        <v>32</v>
      </c>
      <c r="C37" t="s">
        <v>123</v>
      </c>
      <c r="D37" t="s">
        <v>106</v>
      </c>
      <c r="E37" t="str">
        <f t="shared" ref="E37:E79" si="8">CONCATENATE("/",C37,"_",D37,"_","genomic.fna")</f>
        <v>/GCA_001412135.1_ASM141213v1_genomic.fna</v>
      </c>
      <c r="F37" s="5" t="str">
        <f t="shared" ref="F37:F79" si="9">CONCATENATE(B37,C37,E37," ",H37," ",I37)</f>
        <v>GeMoMa GeMoMaPipeline threads=12 GeMoMa.Score=ReAlign AnnotationFinalizer.r=NO o=true t=~/genomes/ncbi_dataset/data/GCA_001412135.1/GCA_001412135.1_ASM141213v1_genomic.fna outdir=~/gemoma/Mt_Silene_latifolia_subsp._alba selected=~/gemoma/Mt_selected a=~/genomes/ncbi_dataset/data/GCF_003473485.1/genomic.gff g=~/genomes/ncbi_dataset/data/GCF_003473485.1/GCF_003473485.1_MtrunA17r5.0-ANR_genomic.fna GAF.f="start=='M' and (isNaN(score) or score/aa&gt;=0.75)"</v>
      </c>
      <c r="G37" t="s">
        <v>177</v>
      </c>
      <c r="H37" t="str">
        <f t="shared" ref="H37:H52" si="10">CONCATENATE(G37,A37)</f>
        <v>outdir=~/gemoma/Mt_Silene_latifolia_subsp._alba</v>
      </c>
      <c r="I37" t="s">
        <v>193</v>
      </c>
    </row>
    <row r="38" spans="1:9" x14ac:dyDescent="0.2">
      <c r="A38" t="s">
        <v>147</v>
      </c>
      <c r="B38" t="s">
        <v>32</v>
      </c>
      <c r="C38" t="s">
        <v>124</v>
      </c>
      <c r="D38" t="s">
        <v>107</v>
      </c>
      <c r="E38" t="str">
        <f t="shared" si="8"/>
        <v>/GCA_029990575.1_ASM2999057v1_genomic.fna</v>
      </c>
      <c r="F38" s="5" t="str">
        <f t="shared" si="9"/>
        <v>GeMoMa GeMoMaPipeline threads=12 GeMoMa.Score=ReAlign AnnotationFinalizer.r=NO o=true t=~/genomes/ncbi_dataset/data/GCA_029990575.1/GCA_029990575.1_ASM2999057v1_genomic.fna outdir=~/gemoma/Mt_Petunia_axillaris_subsp._axillaris selected=~/gemoma/Mt_selected a=~/genomes/ncbi_dataset/data/GCF_003473485.1/genomic.gff g=~/genomes/ncbi_dataset/data/GCF_003473485.1/GCF_003473485.1_MtrunA17r5.0-ANR_genomic.fna GAF.f="start=='M' and (isNaN(score) or score/aa&gt;=0.75)"</v>
      </c>
      <c r="G38" t="s">
        <v>177</v>
      </c>
      <c r="H38" t="str">
        <f t="shared" si="10"/>
        <v>outdir=~/gemoma/Mt_Petunia_axillaris_subsp._axillaris</v>
      </c>
      <c r="I38" t="s">
        <v>193</v>
      </c>
    </row>
    <row r="39" spans="1:9" x14ac:dyDescent="0.2">
      <c r="A39" t="s">
        <v>148</v>
      </c>
      <c r="B39" t="s">
        <v>32</v>
      </c>
      <c r="C39" t="s">
        <v>125</v>
      </c>
      <c r="D39" t="s">
        <v>126</v>
      </c>
      <c r="E39" t="str">
        <f t="shared" si="8"/>
        <v>/GCA_029990175.1_Psec_v2_Bern_genomic.fna</v>
      </c>
      <c r="F39" s="5" t="str">
        <f t="shared" si="9"/>
        <v>GeMoMa GeMoMaPipeline threads=12 GeMoMa.Score=ReAlign AnnotationFinalizer.r=NO o=true t=~/genomes/ncbi_dataset/data/GCA_029990175.1/GCA_029990175.1_Psec_v2_Bern_genomic.fna outdir=~/gemoma/Mt_Petunia_secreta selected=~/gemoma/Mt_selected a=~/genomes/ncbi_dataset/data/GCF_003473485.1/genomic.gff g=~/genomes/ncbi_dataset/data/GCF_003473485.1/GCF_003473485.1_MtrunA17r5.0-ANR_genomic.fna GAF.f="start=='M' and (isNaN(score) or score/aa&gt;=0.75)"</v>
      </c>
      <c r="G39" t="s">
        <v>177</v>
      </c>
      <c r="H39" t="str">
        <f t="shared" si="10"/>
        <v>outdir=~/gemoma/Mt_Petunia_secreta</v>
      </c>
      <c r="I39" t="s">
        <v>193</v>
      </c>
    </row>
    <row r="40" spans="1:9" x14ac:dyDescent="0.2">
      <c r="A40" t="s">
        <v>149</v>
      </c>
      <c r="B40" t="s">
        <v>32</v>
      </c>
      <c r="C40" t="s">
        <v>127</v>
      </c>
      <c r="D40" t="s">
        <v>108</v>
      </c>
      <c r="E40" t="str">
        <f t="shared" si="8"/>
        <v>/GCA_032274805.1_ASM3227480v1_genomic.fna</v>
      </c>
      <c r="F40" s="5" t="str">
        <f t="shared" si="9"/>
        <v>GeMoMa GeMoMaPipeline threads=12 GeMoMa.Score=ReAlign AnnotationFinalizer.r=NO o=true t=~/genomes/ncbi_dataset/data/GCA_032274805.1/GCA_032274805.1_ASM3227480v1_genomic.fna outdir=~/gemoma/Mt_Gypsophila_paniculata selected=~/gemoma/Mt_selected a=~/genomes/ncbi_dataset/data/GCF_003473485.1/genomic.gff g=~/genomes/ncbi_dataset/data/GCF_003473485.1/GCF_003473485.1_MtrunA17r5.0-ANR_genomic.fna GAF.f="start=='M' and (isNaN(score) or score/aa&gt;=0.75)"</v>
      </c>
      <c r="G40" t="s">
        <v>177</v>
      </c>
      <c r="H40" t="str">
        <f t="shared" si="10"/>
        <v>outdir=~/gemoma/Mt_Gypsophila_paniculata</v>
      </c>
      <c r="I40" t="s">
        <v>193</v>
      </c>
    </row>
    <row r="41" spans="1:9" x14ac:dyDescent="0.2">
      <c r="A41" t="s">
        <v>150</v>
      </c>
      <c r="B41" t="s">
        <v>32</v>
      </c>
      <c r="C41" t="s">
        <v>128</v>
      </c>
      <c r="D41" t="s">
        <v>109</v>
      </c>
      <c r="E41" t="str">
        <f t="shared" si="8"/>
        <v>/GCA_009801015.1_ASM980101v1_genomic.fna</v>
      </c>
      <c r="F41" s="5" t="str">
        <f t="shared" si="9"/>
        <v>GeMoMa GeMoMaPipeline threads=12 GeMoMa.Score=ReAlign AnnotationFinalizer.r=NO o=true t=~/genomes/ncbi_dataset/data/GCA_009801015.1/GCA_009801015.1_ASM980101v1_genomic.fna outdir=~/gemoma/Mt_Silene_noctiflora selected=~/gemoma/Mt_selected a=~/genomes/ncbi_dataset/data/GCF_003473485.1/genomic.gff g=~/genomes/ncbi_dataset/data/GCF_003473485.1/GCF_003473485.1_MtrunA17r5.0-ANR_genomic.fna GAF.f="start=='M' and (isNaN(score) or score/aa&gt;=0.75)"</v>
      </c>
      <c r="G41" t="s">
        <v>177</v>
      </c>
      <c r="H41" t="str">
        <f t="shared" si="10"/>
        <v>outdir=~/gemoma/Mt_Silene_noctiflora</v>
      </c>
      <c r="I41" t="s">
        <v>193</v>
      </c>
    </row>
    <row r="42" spans="1:9" x14ac:dyDescent="0.2">
      <c r="A42" t="s">
        <v>151</v>
      </c>
      <c r="B42" t="s">
        <v>32</v>
      </c>
      <c r="C42" t="s">
        <v>129</v>
      </c>
      <c r="D42" t="s">
        <v>110</v>
      </c>
      <c r="E42" t="str">
        <f t="shared" si="8"/>
        <v>/GCA_001925005.1_ASM192500v1_genomic.fna</v>
      </c>
      <c r="F42" s="5" t="str">
        <f t="shared" si="9"/>
        <v>GeMoMa GeMoMaPipeline threads=12 GeMoMa.Score=ReAlign AnnotationFinalizer.r=NO o=true t=~/genomes/ncbi_dataset/data/GCA_001925005.1/GCA_001925005.1_ASM192500v1_genomic.fna outdir=~/gemoma/Mt_Drosera_capensis selected=~/gemoma/Mt_selected a=~/genomes/ncbi_dataset/data/GCF_003473485.1/genomic.gff g=~/genomes/ncbi_dataset/data/GCF_003473485.1/GCF_003473485.1_MtrunA17r5.0-ANR_genomic.fna GAF.f="start=='M' and (isNaN(score) or score/aa&gt;=0.75)"</v>
      </c>
      <c r="G42" t="s">
        <v>177</v>
      </c>
      <c r="H42" t="str">
        <f t="shared" si="10"/>
        <v>outdir=~/gemoma/Mt_Drosera_capensis</v>
      </c>
      <c r="I42" t="s">
        <v>193</v>
      </c>
    </row>
    <row r="43" spans="1:9" x14ac:dyDescent="0.2">
      <c r="A43" t="s">
        <v>152</v>
      </c>
      <c r="B43" t="s">
        <v>32</v>
      </c>
      <c r="C43" t="s">
        <v>130</v>
      </c>
      <c r="D43" t="s">
        <v>111</v>
      </c>
      <c r="E43" t="str">
        <f t="shared" si="8"/>
        <v>/GCA_018983105.1_ASM1898310v1_genomic.fna</v>
      </c>
      <c r="F43" s="5" t="str">
        <f t="shared" si="9"/>
        <v>GeMoMa GeMoMaPipeline threads=12 GeMoMa.Score=ReAlign AnnotationFinalizer.r=NO o=true t=~/genomes/ncbi_dataset/data/GCA_018983105.1/GCA_018983105.1_ASM1898310v1_genomic.fna outdir=~/gemoma/Mt_Silene_uniflora selected=~/gemoma/Mt_selected a=~/genomes/ncbi_dataset/data/GCF_003473485.1/genomic.gff g=~/genomes/ncbi_dataset/data/GCF_003473485.1/GCF_003473485.1_MtrunA17r5.0-ANR_genomic.fna GAF.f="start=='M' and (isNaN(score) or score/aa&gt;=0.75)"</v>
      </c>
      <c r="G43" t="s">
        <v>177</v>
      </c>
      <c r="H43" t="str">
        <f t="shared" si="10"/>
        <v>outdir=~/gemoma/Mt_Silene_uniflora</v>
      </c>
      <c r="I43" t="s">
        <v>193</v>
      </c>
    </row>
    <row r="44" spans="1:9" x14ac:dyDescent="0.2">
      <c r="A44" t="s">
        <v>153</v>
      </c>
      <c r="B44" t="s">
        <v>32</v>
      </c>
      <c r="C44" t="s">
        <v>131</v>
      </c>
      <c r="D44" t="s">
        <v>132</v>
      </c>
      <c r="E44" t="str">
        <f t="shared" si="8"/>
        <v>/GCA_029747015.1_UA_SGP5p_2_genomic.fna</v>
      </c>
      <c r="F44" s="5" t="str">
        <f t="shared" si="9"/>
        <v>GeMoMa GeMoMaPipeline threads=12 GeMoMa.Score=ReAlign AnnotationFinalizer.r=NO o=true t=~/genomes/ncbi_dataset/data/GCA_029747015.1/GCA_029747015.1_UA_SGP5p_2_genomic.fna outdir=~/gemoma/Mt_Carnegiea_gigantea selected=~/gemoma/Mt_selected a=~/genomes/ncbi_dataset/data/GCF_003473485.1/genomic.gff g=~/genomes/ncbi_dataset/data/GCF_003473485.1/GCF_003473485.1_MtrunA17r5.0-ANR_genomic.fna GAF.f="start=='M' and (isNaN(score) or score/aa&gt;=0.75)"</v>
      </c>
      <c r="G44" t="s">
        <v>177</v>
      </c>
      <c r="H44" t="str">
        <f t="shared" si="10"/>
        <v>outdir=~/gemoma/Mt_Carnegiea_gigantea</v>
      </c>
      <c r="I44" t="s">
        <v>193</v>
      </c>
    </row>
    <row r="45" spans="1:9" x14ac:dyDescent="0.2">
      <c r="A45" t="s">
        <v>154</v>
      </c>
      <c r="B45" t="s">
        <v>32</v>
      </c>
      <c r="C45" t="s">
        <v>133</v>
      </c>
      <c r="D45" t="s">
        <v>112</v>
      </c>
      <c r="E45" t="str">
        <f t="shared" si="8"/>
        <v>/GCA_022085475.1_ASM2208547v1_genomic.fna</v>
      </c>
      <c r="F45" s="5" t="str">
        <f t="shared" si="9"/>
        <v>GeMoMa GeMoMaPipeline threads=12 GeMoMa.Score=ReAlign AnnotationFinalizer.r=NO o=true t=~/genomes/ncbi_dataset/data/GCA_022085475.1/GCA_022085475.1_ASM2208547v1_genomic.fna outdir=~/gemoma/Mt_Heliosperma_pusillum selected=~/gemoma/Mt_selected a=~/genomes/ncbi_dataset/data/GCF_003473485.1/genomic.gff g=~/genomes/ncbi_dataset/data/GCF_003473485.1/GCF_003473485.1_MtrunA17r5.0-ANR_genomic.fna GAF.f="start=='M' and (isNaN(score) or score/aa&gt;=0.75)"</v>
      </c>
      <c r="G45" t="s">
        <v>177</v>
      </c>
      <c r="H45" t="str">
        <f t="shared" si="10"/>
        <v>outdir=~/gemoma/Mt_Heliosperma_pusillum</v>
      </c>
      <c r="I45" t="s">
        <v>193</v>
      </c>
    </row>
    <row r="46" spans="1:9" x14ac:dyDescent="0.2">
      <c r="A46" t="s">
        <v>155</v>
      </c>
      <c r="B46" t="s">
        <v>32</v>
      </c>
      <c r="C46" t="s">
        <v>134</v>
      </c>
      <c r="D46" t="s">
        <v>113</v>
      </c>
      <c r="E46" t="str">
        <f t="shared" si="8"/>
        <v>/GCA_028566215.1_ASM2856621v1_genomic.fna</v>
      </c>
      <c r="F46" s="5" t="str">
        <f t="shared" si="9"/>
        <v>GeMoMa GeMoMaPipeline threads=12 GeMoMa.Score=ReAlign AnnotationFinalizer.r=NO o=true t=~/genomes/ncbi_dataset/data/GCA_028566215.1/GCA_028566215.1_ASM2856621v1_genomic.fna outdir=~/gemoma/Mt_Silene_coronaria selected=~/gemoma/Mt_selected a=~/genomes/ncbi_dataset/data/GCF_003473485.1/genomic.gff g=~/genomes/ncbi_dataset/data/GCF_003473485.1/GCF_003473485.1_MtrunA17r5.0-ANR_genomic.fna GAF.f="start=='M' and (isNaN(score) or score/aa&gt;=0.75)"</v>
      </c>
      <c r="G46" t="s">
        <v>177</v>
      </c>
      <c r="H46" t="str">
        <f t="shared" si="10"/>
        <v>outdir=~/gemoma/Mt_Silene_coronaria</v>
      </c>
      <c r="I46" t="s">
        <v>193</v>
      </c>
    </row>
    <row r="47" spans="1:9" x14ac:dyDescent="0.2">
      <c r="A47" t="s">
        <v>156</v>
      </c>
      <c r="B47" t="s">
        <v>32</v>
      </c>
      <c r="C47" t="s">
        <v>136</v>
      </c>
      <c r="D47" t="s">
        <v>135</v>
      </c>
      <c r="E47" t="str">
        <f t="shared" si="8"/>
        <v>/GCF_002917755.1_EL10_1.0_genomic.fna</v>
      </c>
      <c r="F47" s="5" t="str">
        <f t="shared" si="9"/>
        <v>GeMoMa GeMoMaPipeline threads=12 GeMoMa.Score=ReAlign AnnotationFinalizer.r=NO o=true t=~/genomes/ncbi_dataset/data/GCF_002917755.1/GCF_002917755.1_EL10_1.0_genomic.fna outdir=~/gemoma/Mt_Beta_vulgaris_subsp._vulgaris selected=~/gemoma/Mt_selected a=~/genomes/ncbi_dataset/data/GCF_003473485.1/genomic.gff g=~/genomes/ncbi_dataset/data/GCF_003473485.1/GCF_003473485.1_MtrunA17r5.0-ANR_genomic.fna GAF.f="start=='M' and (isNaN(score) or score/aa&gt;=0.75)"</v>
      </c>
      <c r="G47" t="s">
        <v>177</v>
      </c>
      <c r="H47" t="str">
        <f t="shared" si="10"/>
        <v>outdir=~/gemoma/Mt_Beta_vulgaris_subsp._vulgaris</v>
      </c>
      <c r="I47" t="s">
        <v>193</v>
      </c>
    </row>
    <row r="48" spans="1:9" x14ac:dyDescent="0.2">
      <c r="A48" t="s">
        <v>157</v>
      </c>
      <c r="B48" t="s">
        <v>32</v>
      </c>
      <c r="C48" t="s">
        <v>137</v>
      </c>
      <c r="D48" t="s">
        <v>114</v>
      </c>
      <c r="E48" t="str">
        <f t="shared" si="8"/>
        <v>/GCF_002007265.1_ASM200726v1_genomic.fna</v>
      </c>
      <c r="F48" s="5" t="str">
        <f t="shared" si="9"/>
        <v>GeMoMa GeMoMaPipeline threads=12 GeMoMa.Score=ReAlign AnnotationFinalizer.r=NO o=true t=~/genomes/ncbi_dataset/data/GCF_002007265.1/GCF_002007265.1_ASM200726v1_genomic.fna outdir=~/gemoma/Mt_Spinacia_oleracea selected=~/gemoma/Mt_selected a=~/genomes/ncbi_dataset/data/GCF_003473485.1/genomic.gff g=~/genomes/ncbi_dataset/data/GCF_003473485.1/GCF_003473485.1_MtrunA17r5.0-ANR_genomic.fna GAF.f="start=='M' and (isNaN(score) or score/aa&gt;=0.75)"</v>
      </c>
      <c r="G48" t="s">
        <v>177</v>
      </c>
      <c r="H48" t="str">
        <f t="shared" si="10"/>
        <v>outdir=~/gemoma/Mt_Spinacia_oleracea</v>
      </c>
      <c r="I48" t="s">
        <v>193</v>
      </c>
    </row>
    <row r="49" spans="1:9" x14ac:dyDescent="0.2">
      <c r="A49" t="s">
        <v>172</v>
      </c>
      <c r="B49" t="s">
        <v>32</v>
      </c>
      <c r="C49" t="s">
        <v>164</v>
      </c>
      <c r="D49" t="s">
        <v>165</v>
      </c>
      <c r="E49" t="str">
        <f>CONCATENATE("/",C49,"_",D49,"_","genomic.fna")</f>
        <v>/GCA_026545225.1_ASM2654522v1_genomic.fna</v>
      </c>
      <c r="F49" s="5" t="str">
        <f t="shared" si="9"/>
        <v>GeMoMa GeMoMaPipeline threads=12 GeMoMa.Score=ReAlign AnnotationFinalizer.r=NO o=true t=~/genomes/ncbi_dataset/data/GCA_026545225.1/GCA_026545225.1_ASM2654522v1_genomic.fna outdir=~/gemoma/Mt_Cornus_controversa selected=~/gemoma/Mt_selected a=~/genomes/ncbi_dataset/data/GCF_003473485.1/genomic.gff g=~/genomes/ncbi_dataset/data/GCF_003473485.1/GCF_003473485.1_MtrunA17r5.0-ANR_genomic.fna GAF.f="start=='M' and (isNaN(score) or score/aa&gt;=0.75)"</v>
      </c>
      <c r="G49" t="s">
        <v>177</v>
      </c>
      <c r="H49" t="str">
        <f t="shared" si="10"/>
        <v>outdir=~/gemoma/Mt_Cornus_controversa</v>
      </c>
      <c r="I49" t="s">
        <v>193</v>
      </c>
    </row>
    <row r="50" spans="1:9" x14ac:dyDescent="0.2">
      <c r="A50" t="s">
        <v>173</v>
      </c>
      <c r="B50" t="s">
        <v>32</v>
      </c>
      <c r="C50" t="s">
        <v>166</v>
      </c>
      <c r="D50" t="s">
        <v>167</v>
      </c>
      <c r="E50" t="str">
        <f t="shared" si="8"/>
        <v>/GCA_008638375.1_ASM863837v1_genomic.fna</v>
      </c>
      <c r="F50" s="5" t="str">
        <f t="shared" si="9"/>
        <v>GeMoMa GeMoMaPipeline threads=12 GeMoMa.Score=ReAlign AnnotationFinalizer.r=NO o=true t=~/genomes/ncbi_dataset/data/GCA_008638375.1/GCA_008638375.1_ASM863837v1_genomic.fna outdir=~/gemoma/Mt_Nyssa_sinensis selected=~/gemoma/Mt_selected a=~/genomes/ncbi_dataset/data/GCF_003473485.1/genomic.gff g=~/genomes/ncbi_dataset/data/GCF_003473485.1/GCF_003473485.1_MtrunA17r5.0-ANR_genomic.fna GAF.f="start=='M' and (isNaN(score) or score/aa&gt;=0.75)"</v>
      </c>
      <c r="G50" t="s">
        <v>177</v>
      </c>
      <c r="H50" t="str">
        <f t="shared" si="10"/>
        <v>outdir=~/gemoma/Mt_Nyssa_sinensis</v>
      </c>
      <c r="I50" t="s">
        <v>193</v>
      </c>
    </row>
    <row r="51" spans="1:9" x14ac:dyDescent="0.2">
      <c r="A51" t="s">
        <v>174</v>
      </c>
      <c r="B51" t="s">
        <v>32</v>
      </c>
      <c r="C51" t="s">
        <v>168</v>
      </c>
      <c r="D51" t="s">
        <v>169</v>
      </c>
      <c r="E51" t="str">
        <f t="shared" si="8"/>
        <v>/GCA_013391885.1_HMA_r1.2_0_genomic.fna</v>
      </c>
      <c r="F51" s="5" t="str">
        <f t="shared" si="9"/>
        <v>GeMoMa GeMoMaPipeline threads=12 GeMoMa.Score=ReAlign AnnotationFinalizer.r=NO o=true t=~/genomes/ncbi_dataset/data/GCA_013391885.1/GCA_013391885.1_HMA_r1.2_0_genomic.fna outdir=~/gemoma/Mt_Hydrangea_macrophylla selected=~/gemoma/Mt_selected a=~/genomes/ncbi_dataset/data/GCF_003473485.1/genomic.gff g=~/genomes/ncbi_dataset/data/GCF_003473485.1/GCF_003473485.1_MtrunA17r5.0-ANR_genomic.fna GAF.f="start=='M' and (isNaN(score) or score/aa&gt;=0.75)"</v>
      </c>
      <c r="G51" t="s">
        <v>177</v>
      </c>
      <c r="H51" t="str">
        <f t="shared" si="10"/>
        <v>outdir=~/gemoma/Mt_Hydrangea_macrophylla</v>
      </c>
      <c r="I51" t="s">
        <v>193</v>
      </c>
    </row>
    <row r="52" spans="1:9" x14ac:dyDescent="0.2">
      <c r="A52" t="s">
        <v>175</v>
      </c>
      <c r="B52" t="s">
        <v>32</v>
      </c>
      <c r="C52" t="s">
        <v>171</v>
      </c>
      <c r="D52" t="s">
        <v>170</v>
      </c>
      <c r="E52" t="str">
        <f t="shared" si="8"/>
        <v>/GCF_030987335.1_ASM3098733v1_genomic.fna</v>
      </c>
      <c r="F52" s="5" t="str">
        <f t="shared" si="9"/>
        <v>GeMoMa GeMoMaPipeline threads=12 GeMoMa.Score=ReAlign AnnotationFinalizer.r=NO o=true t=~/genomes/ncbi_dataset/data/GCF_030987335.1/GCF_030987335.1_ASM3098733v1_genomic.fna outdir=~/gemoma/Mt_Cornus_florida selected=~/gemoma/Mt_selected a=~/genomes/ncbi_dataset/data/GCF_003473485.1/genomic.gff g=~/genomes/ncbi_dataset/data/GCF_003473485.1/GCF_003473485.1_MtrunA17r5.0-ANR_genomic.fna GAF.f="start=='M' and (isNaN(score) or score/aa&gt;=0.75)"</v>
      </c>
      <c r="G52" t="s">
        <v>177</v>
      </c>
      <c r="H52" t="str">
        <f t="shared" si="10"/>
        <v>outdir=~/gemoma/Mt_Cornus_florida</v>
      </c>
      <c r="I52" t="s">
        <v>193</v>
      </c>
    </row>
    <row r="53" spans="1:9" x14ac:dyDescent="0.2">
      <c r="A53" t="s">
        <v>232</v>
      </c>
      <c r="B53" t="s">
        <v>32</v>
      </c>
      <c r="C53" t="s">
        <v>194</v>
      </c>
      <c r="D53" t="s">
        <v>195</v>
      </c>
      <c r="E53" t="str">
        <f t="shared" si="8"/>
        <v>/GCA_015680905.1_ASM1568090v1_genomic.fna</v>
      </c>
      <c r="F53" s="5" t="str">
        <f t="shared" si="9"/>
        <v>GeMoMa GeMoMaPipeline threads=12 GeMoMa.Score=ReAlign AnnotationFinalizer.r=NO o=true t=~/genomes/ncbi_dataset/data/GCA_015680905.1/GCA_015680905.1_ASM1568090v1_genomic.fna outdir=~/gemoma/Mt_Coptis_chinensis selected=~/gemoma/Mt_selected a=~/genomes/ncbi_dataset/data/GCF_003473485.1/genomic.gff g=~/genomes/ncbi_dataset/data/GCF_003473485.1/GCF_003473485.1_MtrunA17r5.0-ANR_genomic.fna GAF.f="start=='M' and (isNaN(score) or score/aa&gt;=0.75)"</v>
      </c>
      <c r="G53" t="s">
        <v>177</v>
      </c>
      <c r="H53" t="str">
        <f t="shared" ref="H53:H71" si="11">CONCATENATE(G53,A53)</f>
        <v>outdir=~/gemoma/Mt_Coptis_chinensis</v>
      </c>
      <c r="I53" t="s">
        <v>193</v>
      </c>
    </row>
    <row r="54" spans="1:9" x14ac:dyDescent="0.2">
      <c r="A54" t="s">
        <v>233</v>
      </c>
      <c r="B54" t="s">
        <v>32</v>
      </c>
      <c r="C54" t="s">
        <v>196</v>
      </c>
      <c r="D54" t="s">
        <v>197</v>
      </c>
      <c r="E54" t="str">
        <f t="shared" si="8"/>
        <v>/GCA_002738505.1_Aquilegia_coerulea_v1_genomic.fna</v>
      </c>
      <c r="F54" s="5" t="str">
        <f t="shared" si="9"/>
        <v>GeMoMa GeMoMaPipeline threads=12 GeMoMa.Score=ReAlign AnnotationFinalizer.r=NO o=true t=~/genomes/ncbi_dataset/data/GCA_002738505.1/GCA_002738505.1_Aquilegia_coerulea_v1_genomic.fna outdir=~/gemoma/Mt_Aquilegia_coerulea selected=~/gemoma/Mt_selected a=~/genomes/ncbi_dataset/data/GCF_003473485.1/genomic.gff g=~/genomes/ncbi_dataset/data/GCF_003473485.1/GCF_003473485.1_MtrunA17r5.0-ANR_genomic.fna GAF.f="start=='M' and (isNaN(score) or score/aa&gt;=0.75)"</v>
      </c>
      <c r="G54" t="s">
        <v>177</v>
      </c>
      <c r="H54" t="str">
        <f t="shared" si="11"/>
        <v>outdir=~/gemoma/Mt_Aquilegia_coerulea</v>
      </c>
      <c r="I54" t="s">
        <v>193</v>
      </c>
    </row>
    <row r="55" spans="1:9" x14ac:dyDescent="0.2">
      <c r="A55" t="s">
        <v>234</v>
      </c>
      <c r="B55" t="s">
        <v>32</v>
      </c>
      <c r="C55" t="s">
        <v>198</v>
      </c>
      <c r="D55" t="s">
        <v>199</v>
      </c>
      <c r="E55" t="str">
        <f t="shared" si="8"/>
        <v>/GCA_013358455.1_MaSuRCA_all.p2_genomic.fna</v>
      </c>
      <c r="F55" s="5" t="str">
        <f t="shared" si="9"/>
        <v>GeMoMa GeMoMaPipeline threads=12 GeMoMa.Score=ReAlign AnnotationFinalizer.r=NO o=true t=~/genomes/ncbi_dataset/data/GCA_013358455.1/GCA_013358455.1_MaSuRCA_all.p2_genomic.fna outdir=~/gemoma/Mt_Thalictrum_thalictroides selected=~/gemoma/Mt_selected a=~/genomes/ncbi_dataset/data/GCF_003473485.1/genomic.gff g=~/genomes/ncbi_dataset/data/GCF_003473485.1/GCF_003473485.1_MtrunA17r5.0-ANR_genomic.fna GAF.f="start=='M' and (isNaN(score) or score/aa&gt;=0.75)"</v>
      </c>
      <c r="G55" t="s">
        <v>177</v>
      </c>
      <c r="H55" t="str">
        <f t="shared" si="11"/>
        <v>outdir=~/gemoma/Mt_Thalictrum_thalictroides</v>
      </c>
      <c r="I55" t="s">
        <v>193</v>
      </c>
    </row>
    <row r="56" spans="1:9" x14ac:dyDescent="0.2">
      <c r="A56" t="s">
        <v>235</v>
      </c>
      <c r="B56" t="s">
        <v>32</v>
      </c>
      <c r="C56" t="s">
        <v>200</v>
      </c>
      <c r="D56" t="s">
        <v>201</v>
      </c>
      <c r="E56" t="str">
        <f t="shared" si="8"/>
        <v>/GCA_028566255.1_ASM2856625v1_genomic.fna</v>
      </c>
      <c r="F56" s="5" t="str">
        <f t="shared" si="9"/>
        <v>GeMoMa GeMoMaPipeline threads=12 GeMoMa.Score=ReAlign AnnotationFinalizer.r=NO o=true t=~/genomes/ncbi_dataset/data/GCA_028566255.1/GCA_028566255.1_ASM2856625v1_genomic.fna outdir=~/gemoma/Mt_Geranium_maculatum selected=~/gemoma/Mt_selected a=~/genomes/ncbi_dataset/data/GCF_003473485.1/genomic.gff g=~/genomes/ncbi_dataset/data/GCF_003473485.1/GCF_003473485.1_MtrunA17r5.0-ANR_genomic.fna GAF.f="start=='M' and (isNaN(score) or score/aa&gt;=0.75)"</v>
      </c>
      <c r="G56" t="s">
        <v>177</v>
      </c>
      <c r="H56" t="str">
        <f t="shared" si="11"/>
        <v>outdir=~/gemoma/Mt_Geranium_maculatum</v>
      </c>
      <c r="I56" t="s">
        <v>193</v>
      </c>
    </row>
    <row r="57" spans="1:9" x14ac:dyDescent="0.2">
      <c r="A57" t="s">
        <v>236</v>
      </c>
      <c r="B57" t="s">
        <v>32</v>
      </c>
      <c r="C57" t="s">
        <v>202</v>
      </c>
      <c r="D57" t="s">
        <v>203</v>
      </c>
      <c r="E57" t="str">
        <f t="shared" si="8"/>
        <v>/GCA_900128785.1_MPIPZ.v5_genomic.fna</v>
      </c>
      <c r="F57" s="5" t="str">
        <f t="shared" si="9"/>
        <v>GeMoMa GeMoMaPipeline threads=12 GeMoMa.Score=ReAlign AnnotationFinalizer.r=NO o=true t=~/genomes/ncbi_dataset/data/GCA_900128785.1/GCA_900128785.1_MPIPZ.v5_genomic.fna outdir=~/gemoma/Mt_Arabis_alpina selected=~/gemoma/Mt_selected a=~/genomes/ncbi_dataset/data/GCF_003473485.1/genomic.gff g=~/genomes/ncbi_dataset/data/GCF_003473485.1/GCF_003473485.1_MtrunA17r5.0-ANR_genomic.fna GAF.f="start=='M' and (isNaN(score) or score/aa&gt;=0.75)"</v>
      </c>
      <c r="G57" t="s">
        <v>177</v>
      </c>
      <c r="H57" t="str">
        <f t="shared" si="11"/>
        <v>outdir=~/gemoma/Mt_Arabis_alpina</v>
      </c>
      <c r="I57" t="s">
        <v>193</v>
      </c>
    </row>
    <row r="58" spans="1:9" x14ac:dyDescent="0.2">
      <c r="A58" t="s">
        <v>237</v>
      </c>
      <c r="B58" t="s">
        <v>32</v>
      </c>
      <c r="C58" t="s">
        <v>204</v>
      </c>
      <c r="D58" t="s">
        <v>205</v>
      </c>
      <c r="E58" t="str">
        <f t="shared" si="8"/>
        <v>/GCA_963576765.1_ddDraInca1.1_genomic.fna</v>
      </c>
      <c r="F58" s="5" t="str">
        <f t="shared" si="9"/>
        <v>GeMoMa GeMoMaPipeline threads=12 GeMoMa.Score=ReAlign AnnotationFinalizer.r=NO o=true t=~/genomes/ncbi_dataset/data/GCA_963576765.1/GCA_963576765.1_ddDraInca1.1_genomic.fna outdir=~/gemoma/Mt_Draba_incana selected=~/gemoma/Mt_selected a=~/genomes/ncbi_dataset/data/GCF_003473485.1/genomic.gff g=~/genomes/ncbi_dataset/data/GCF_003473485.1/GCF_003473485.1_MtrunA17r5.0-ANR_genomic.fna GAF.f="start=='M' and (isNaN(score) or score/aa&gt;=0.75)"</v>
      </c>
      <c r="G58" t="s">
        <v>177</v>
      </c>
      <c r="H58" t="str">
        <f t="shared" si="11"/>
        <v>outdir=~/gemoma/Mt_Draba_incana</v>
      </c>
      <c r="I58" t="s">
        <v>193</v>
      </c>
    </row>
    <row r="59" spans="1:9" x14ac:dyDescent="0.2">
      <c r="A59" t="s">
        <v>238</v>
      </c>
      <c r="B59" t="s">
        <v>32</v>
      </c>
      <c r="C59" t="s">
        <v>206</v>
      </c>
      <c r="D59" t="s">
        <v>207</v>
      </c>
      <c r="E59" t="str">
        <f t="shared" si="8"/>
        <v>/GCA_001974645.1_C_bursa_pastoris_nuclear_genome_v1_genomic.fna</v>
      </c>
      <c r="F59" s="5" t="str">
        <f t="shared" si="9"/>
        <v>GeMoMa GeMoMaPipeline threads=12 GeMoMa.Score=ReAlign AnnotationFinalizer.r=NO o=true t=~/genomes/ncbi_dataset/data/GCA_001974645.1/GCA_001974645.1_C_bursa_pastoris_nuclear_genome_v1_genomic.fna outdir=~/gemoma/Mt_Capsella_bursa-pastoris selected=~/gemoma/Mt_selected a=~/genomes/ncbi_dataset/data/GCF_003473485.1/genomic.gff g=~/genomes/ncbi_dataset/data/GCF_003473485.1/GCF_003473485.1_MtrunA17r5.0-ANR_genomic.fna GAF.f="start=='M' and (isNaN(score) or score/aa&gt;=0.75)"</v>
      </c>
      <c r="G59" t="s">
        <v>177</v>
      </c>
      <c r="H59" t="str">
        <f t="shared" si="11"/>
        <v>outdir=~/gemoma/Mt_Capsella_bursa-pastoris</v>
      </c>
      <c r="I59" t="s">
        <v>193</v>
      </c>
    </row>
    <row r="60" spans="1:9" x14ac:dyDescent="0.2">
      <c r="A60" t="s">
        <v>239</v>
      </c>
      <c r="B60" t="s">
        <v>32</v>
      </c>
      <c r="C60" t="s">
        <v>208</v>
      </c>
      <c r="D60" t="s">
        <v>209</v>
      </c>
      <c r="E60" t="str">
        <f t="shared" si="8"/>
        <v>/GCA_020283515.1_Apet_EFCC3-3-20v4_genomic.fna</v>
      </c>
      <c r="F60" s="5" t="str">
        <f t="shared" si="9"/>
        <v>GeMoMa GeMoMaPipeline threads=12 GeMoMa.Score=ReAlign AnnotationFinalizer.r=NO o=true t=~/genomes/ncbi_dataset/data/GCA_020283515.1/GCA_020283515.1_Apet_EFCC3-3-20v4_genomic.fna outdir=~/gemoma/Mt_Alliaria_petiolata selected=~/gemoma/Mt_selected a=~/genomes/ncbi_dataset/data/GCF_003473485.1/genomic.gff g=~/genomes/ncbi_dataset/data/GCF_003473485.1/GCF_003473485.1_MtrunA17r5.0-ANR_genomic.fna GAF.f="start=='M' and (isNaN(score) or score/aa&gt;=0.75)"</v>
      </c>
      <c r="G60" t="s">
        <v>177</v>
      </c>
      <c r="H60" t="str">
        <f t="shared" si="11"/>
        <v>outdir=~/gemoma/Mt_Alliaria_petiolata</v>
      </c>
      <c r="I60" t="s">
        <v>193</v>
      </c>
    </row>
    <row r="61" spans="1:9" x14ac:dyDescent="0.2">
      <c r="A61" t="s">
        <v>240</v>
      </c>
      <c r="B61" t="s">
        <v>32</v>
      </c>
      <c r="C61" t="s">
        <v>210</v>
      </c>
      <c r="D61" t="s">
        <v>211</v>
      </c>
      <c r="E61" t="str">
        <f t="shared" si="8"/>
        <v>/GCA_014578085.1_Cresedifolia_CH_v1_genomic.fna</v>
      </c>
      <c r="F61" s="5" t="str">
        <f t="shared" si="9"/>
        <v>GeMoMa GeMoMaPipeline threads=12 GeMoMa.Score=ReAlign AnnotationFinalizer.r=NO o=true t=~/genomes/ncbi_dataset/data/GCA_014578085.1/GCA_014578085.1_Cresedifolia_CH_v1_genomic.fna outdir=~/gemoma/Mt_Cardamine_resedifolia selected=~/gemoma/Mt_selected a=~/genomes/ncbi_dataset/data/GCF_003473485.1/genomic.gff g=~/genomes/ncbi_dataset/data/GCF_003473485.1/GCF_003473485.1_MtrunA17r5.0-ANR_genomic.fna GAF.f="start=='M' and (isNaN(score) or score/aa&gt;=0.75)"</v>
      </c>
      <c r="G61" t="s">
        <v>177</v>
      </c>
      <c r="H61" t="str">
        <f t="shared" si="11"/>
        <v>outdir=~/gemoma/Mt_Cardamine_resedifolia</v>
      </c>
      <c r="I61" t="s">
        <v>193</v>
      </c>
    </row>
    <row r="62" spans="1:9" x14ac:dyDescent="0.2">
      <c r="A62" t="s">
        <v>241</v>
      </c>
      <c r="B62" t="s">
        <v>32</v>
      </c>
      <c r="C62" t="s">
        <v>212</v>
      </c>
      <c r="D62" t="s">
        <v>213</v>
      </c>
      <c r="E62" t="str">
        <f t="shared" si="8"/>
        <v>/GCA_900406315.1_Biscutella longifolia_genomic.fna</v>
      </c>
      <c r="F62" s="5" t="str">
        <f t="shared" si="9"/>
        <v>GeMoMa GeMoMaPipeline threads=12 GeMoMa.Score=ReAlign AnnotationFinalizer.r=NO o=true t=~/genomes/ncbi_dataset/data/GCA_900406315.1/GCA_900406315.1_Biscutella longifolia_genomic.fna outdir=~/gemoma/Mt_Biscutella_laevigata_subsp._laevigata selected=~/gemoma/Mt_selected a=~/genomes/ncbi_dataset/data/GCF_003473485.1/genomic.gff g=~/genomes/ncbi_dataset/data/GCF_003473485.1/GCF_003473485.1_MtrunA17r5.0-ANR_genomic.fna GAF.f="start=='M' and (isNaN(score) or score/aa&gt;=0.75)"</v>
      </c>
      <c r="G62" t="s">
        <v>177</v>
      </c>
      <c r="H62" t="str">
        <f t="shared" si="11"/>
        <v>outdir=~/gemoma/Mt_Biscutella_laevigata_subsp._laevigata</v>
      </c>
      <c r="I62" t="s">
        <v>193</v>
      </c>
    </row>
    <row r="63" spans="1:9" x14ac:dyDescent="0.2">
      <c r="A63" t="s">
        <v>242</v>
      </c>
      <c r="B63" t="s">
        <v>32</v>
      </c>
      <c r="C63" t="s">
        <v>214</v>
      </c>
      <c r="D63" t="s">
        <v>215</v>
      </c>
      <c r="E63" t="str">
        <f t="shared" si="8"/>
        <v>/GCA_900406495.1_ASM90040649v1_genomic.fna</v>
      </c>
      <c r="F63" s="5" t="str">
        <f t="shared" si="9"/>
        <v>GeMoMa GeMoMaPipeline threads=12 GeMoMa.Score=ReAlign AnnotationFinalizer.r=NO o=true t=~/genomes/ncbi_dataset/data/GCA_900406495.1/GCA_900406495.1_ASM90040649v1_genomic.fna outdir=~/gemoma/Mt_Sisymbrium_altissimum selected=~/gemoma/Mt_selected a=~/genomes/ncbi_dataset/data/GCF_003473485.1/genomic.gff g=~/genomes/ncbi_dataset/data/GCF_003473485.1/GCF_003473485.1_MtrunA17r5.0-ANR_genomic.fna GAF.f="start=='M' and (isNaN(score) or score/aa&gt;=0.75)"</v>
      </c>
      <c r="G63" t="s">
        <v>177</v>
      </c>
      <c r="H63" t="str">
        <f t="shared" si="11"/>
        <v>outdir=~/gemoma/Mt_Sisymbrium_altissimum</v>
      </c>
      <c r="I63" t="s">
        <v>193</v>
      </c>
    </row>
    <row r="64" spans="1:9" x14ac:dyDescent="0.2">
      <c r="A64" t="s">
        <v>243</v>
      </c>
      <c r="B64" t="s">
        <v>32</v>
      </c>
      <c r="C64" t="s">
        <v>231</v>
      </c>
      <c r="D64" t="s">
        <v>230</v>
      </c>
      <c r="E64" t="str">
        <f t="shared" si="8"/>
        <v>/GCF_000001735.4_TAIR10.1_genomic.fna</v>
      </c>
      <c r="F64" s="5" t="str">
        <f t="shared" si="9"/>
        <v>GeMoMa GeMoMaPipeline threads=12 GeMoMa.Score=ReAlign AnnotationFinalizer.r=NO o=true t=~/genomes/ncbi_dataset/data/GCF_000001735.4/GCF_000001735.4_TAIR10.1_genomic.fna outdir=~/gemoma/Mt_Arabidopsis_thaliana selected=~/gemoma/Mt_selected a=~/genomes/ncbi_dataset/data/GCF_003473485.1/genomic.gff g=~/genomes/ncbi_dataset/data/GCF_003473485.1/GCF_003473485.1_MtrunA17r5.0-ANR_genomic.fna GAF.f="start=='M' and (isNaN(score) or score/aa&gt;=0.75)"</v>
      </c>
      <c r="G64" t="s">
        <v>177</v>
      </c>
      <c r="H64" t="str">
        <f t="shared" si="11"/>
        <v>outdir=~/gemoma/Mt_Arabidopsis_thaliana</v>
      </c>
      <c r="I64" t="s">
        <v>193</v>
      </c>
    </row>
    <row r="65" spans="1:9" x14ac:dyDescent="0.2">
      <c r="A65" t="s">
        <v>244</v>
      </c>
      <c r="B65" t="s">
        <v>32</v>
      </c>
      <c r="C65" t="s">
        <v>216</v>
      </c>
      <c r="D65" t="s">
        <v>217</v>
      </c>
      <c r="E65" t="str">
        <f t="shared" si="8"/>
        <v>/GCA_916181665.1_Oat OT3098 v2_genomic.fna</v>
      </c>
      <c r="F65" s="5" t="str">
        <f t="shared" si="9"/>
        <v>GeMoMa GeMoMaPipeline threads=12 GeMoMa.Score=ReAlign AnnotationFinalizer.r=NO o=true t=~/genomes/ncbi_dataset/data/GCA_916181665.1/GCA_916181665.1_Oat OT3098 v2_genomic.fna outdir=~/gemoma/Mt_Avena_sativa selected=~/gemoma/Mt_selected a=~/genomes/ncbi_dataset/data/GCF_003473485.1/genomic.gff g=~/genomes/ncbi_dataset/data/GCF_003473485.1/GCF_003473485.1_MtrunA17r5.0-ANR_genomic.fna GAF.f="start=='M' and (isNaN(score) or score/aa&gt;=0.75)"</v>
      </c>
      <c r="G65" t="s">
        <v>177</v>
      </c>
      <c r="H65" t="str">
        <f t="shared" si="11"/>
        <v>outdir=~/gemoma/Mt_Avena_sativa</v>
      </c>
      <c r="I65" t="s">
        <v>193</v>
      </c>
    </row>
    <row r="66" spans="1:9" x14ac:dyDescent="0.2">
      <c r="A66" t="s">
        <v>245</v>
      </c>
      <c r="B66" t="s">
        <v>32</v>
      </c>
      <c r="C66" t="s">
        <v>219</v>
      </c>
      <c r="D66" t="s">
        <v>218</v>
      </c>
      <c r="E66" t="str">
        <f t="shared" si="8"/>
        <v>/GCF_018294505.1_IWGSC CS RefSeq v2.1_genomic.fna</v>
      </c>
      <c r="F66" s="5" t="str">
        <f t="shared" si="9"/>
        <v>GeMoMa GeMoMaPipeline threads=12 GeMoMa.Score=ReAlign AnnotationFinalizer.r=NO o=true t=~/genomes/ncbi_dataset/data/GCF_018294505.1/GCF_018294505.1_IWGSC CS RefSeq v2.1_genomic.fna outdir=~/gemoma/Mt_Triticum_aestivum selected=~/gemoma/Mt_selected a=~/genomes/ncbi_dataset/data/GCF_003473485.1/genomic.gff g=~/genomes/ncbi_dataset/data/GCF_003473485.1/GCF_003473485.1_MtrunA17r5.0-ANR_genomic.fna GAF.f="start=='M' and (isNaN(score) or score/aa&gt;=0.75)"</v>
      </c>
      <c r="G66" t="s">
        <v>177</v>
      </c>
      <c r="H66" t="str">
        <f t="shared" si="11"/>
        <v>outdir=~/gemoma/Mt_Triticum_aestivum</v>
      </c>
      <c r="I66" t="s">
        <v>193</v>
      </c>
    </row>
    <row r="67" spans="1:9" x14ac:dyDescent="0.2">
      <c r="A67" t="s">
        <v>246</v>
      </c>
      <c r="B67" t="s">
        <v>32</v>
      </c>
      <c r="C67" t="s">
        <v>221</v>
      </c>
      <c r="D67" t="s">
        <v>220</v>
      </c>
      <c r="E67" t="str">
        <f t="shared" si="8"/>
        <v>/GCF_904849725.1_MorexV3_pseudomolecules_assembly_genomic.fna</v>
      </c>
      <c r="F67" s="5" t="str">
        <f t="shared" si="9"/>
        <v>GeMoMa GeMoMaPipeline threads=12 GeMoMa.Score=ReAlign AnnotationFinalizer.r=NO o=true t=~/genomes/ncbi_dataset/data/GCF_904849725.1/GCF_904849725.1_MorexV3_pseudomolecules_assembly_genomic.fna outdir=~/gemoma/Mt_Hordeum_vulgare_subsp._vulgare selected=~/gemoma/Mt_selected a=~/genomes/ncbi_dataset/data/GCF_003473485.1/genomic.gff g=~/genomes/ncbi_dataset/data/GCF_003473485.1/GCF_003473485.1_MtrunA17r5.0-ANR_genomic.fna GAF.f="start=='M' and (isNaN(score) or score/aa&gt;=0.75)"</v>
      </c>
      <c r="G67" t="s">
        <v>177</v>
      </c>
      <c r="H67" t="str">
        <f t="shared" si="11"/>
        <v>outdir=~/gemoma/Mt_Hordeum_vulgare_subsp._vulgare</v>
      </c>
      <c r="I67" t="s">
        <v>193</v>
      </c>
    </row>
    <row r="68" spans="1:9" x14ac:dyDescent="0.2">
      <c r="A68" t="s">
        <v>247</v>
      </c>
      <c r="B68" t="s">
        <v>32</v>
      </c>
      <c r="C68" t="s">
        <v>223</v>
      </c>
      <c r="D68" t="s">
        <v>222</v>
      </c>
      <c r="E68" t="str">
        <f t="shared" si="8"/>
        <v>/GCF_019359855.1_MPB_Lper_Kyuss_1697_genomic.fna</v>
      </c>
      <c r="F68" s="5" t="str">
        <f t="shared" si="9"/>
        <v>GeMoMa GeMoMaPipeline threads=12 GeMoMa.Score=ReAlign AnnotationFinalizer.r=NO o=true t=~/genomes/ncbi_dataset/data/GCF_019359855.1/GCF_019359855.1_MPB_Lper_Kyuss_1697_genomic.fna outdir=~/gemoma/Mt_Lolium_perenne selected=~/gemoma/Mt_selected a=~/genomes/ncbi_dataset/data/GCF_003473485.1/genomic.gff g=~/genomes/ncbi_dataset/data/GCF_003473485.1/GCF_003473485.1_MtrunA17r5.0-ANR_genomic.fna GAF.f="start=='M' and (isNaN(score) or score/aa&gt;=0.75)"</v>
      </c>
      <c r="G68" t="s">
        <v>177</v>
      </c>
      <c r="H68" t="str">
        <f t="shared" si="11"/>
        <v>outdir=~/gemoma/Mt_Lolium_perenne</v>
      </c>
      <c r="I68" t="s">
        <v>193</v>
      </c>
    </row>
    <row r="69" spans="1:9" x14ac:dyDescent="0.2">
      <c r="A69" t="s">
        <v>248</v>
      </c>
      <c r="B69" t="s">
        <v>32</v>
      </c>
      <c r="C69" t="s">
        <v>224</v>
      </c>
      <c r="D69" t="s">
        <v>225</v>
      </c>
      <c r="E69" t="str">
        <f t="shared" si="8"/>
        <v>/GCA_028641055.1_Alomy_genome_v1_genomic.fna</v>
      </c>
      <c r="F69" s="5" t="str">
        <f t="shared" si="9"/>
        <v>GeMoMa GeMoMaPipeline threads=12 GeMoMa.Score=ReAlign AnnotationFinalizer.r=NO o=true t=~/genomes/ncbi_dataset/data/GCA_028641055.1/GCA_028641055.1_Alomy_genome_v1_genomic.fna outdir=~/gemoma/Mt_Alopecurus_myosuroides selected=~/gemoma/Mt_selected a=~/genomes/ncbi_dataset/data/GCF_003473485.1/genomic.gff g=~/genomes/ncbi_dataset/data/GCF_003473485.1/GCF_003473485.1_MtrunA17r5.0-ANR_genomic.fna GAF.f="start=='M' and (isNaN(score) or score/aa&gt;=0.75)"</v>
      </c>
      <c r="G69" t="s">
        <v>177</v>
      </c>
      <c r="H69" t="str">
        <f t="shared" si="11"/>
        <v>outdir=~/gemoma/Mt_Alopecurus_myosuroides</v>
      </c>
      <c r="I69" t="s">
        <v>193</v>
      </c>
    </row>
    <row r="70" spans="1:9" x14ac:dyDescent="0.2">
      <c r="A70" t="s">
        <v>249</v>
      </c>
      <c r="B70" t="s">
        <v>32</v>
      </c>
      <c r="C70" t="s">
        <v>226</v>
      </c>
      <c r="D70" t="s">
        <v>227</v>
      </c>
      <c r="E70" t="str">
        <f t="shared" si="8"/>
        <v>/GCA_026929855.1_FRR_PoAnn_1.0_genomic.fna</v>
      </c>
      <c r="F70" s="5" t="str">
        <f t="shared" si="9"/>
        <v>GeMoMa GeMoMaPipeline threads=12 GeMoMa.Score=ReAlign AnnotationFinalizer.r=NO o=true t=~/genomes/ncbi_dataset/data/GCA_026929855.1/GCA_026929855.1_FRR_PoAnn_1.0_genomic.fna outdir=~/gemoma/Mt_Poa_annua selected=~/gemoma/Mt_selected a=~/genomes/ncbi_dataset/data/GCF_003473485.1/genomic.gff g=~/genomes/ncbi_dataset/data/GCF_003473485.1/GCF_003473485.1_MtrunA17r5.0-ANR_genomic.fna GAF.f="start=='M' and (isNaN(score) or score/aa&gt;=0.75)"</v>
      </c>
      <c r="G70" t="s">
        <v>177</v>
      </c>
      <c r="H70" t="str">
        <f t="shared" si="11"/>
        <v>outdir=~/gemoma/Mt_Poa_annua</v>
      </c>
      <c r="I70" t="s">
        <v>193</v>
      </c>
    </row>
    <row r="71" spans="1:9" x14ac:dyDescent="0.2">
      <c r="A71" t="s">
        <v>250</v>
      </c>
      <c r="B71" t="s">
        <v>32</v>
      </c>
      <c r="C71" t="s">
        <v>228</v>
      </c>
      <c r="D71" t="s">
        <v>229</v>
      </c>
      <c r="E71" t="str">
        <f t="shared" si="8"/>
        <v>/GCA_007115705.1_ASM711570v1_genomic.fna</v>
      </c>
      <c r="F71" s="5" t="str">
        <f t="shared" si="9"/>
        <v>GeMoMa GeMoMaPipeline threads=12 GeMoMa.Score=ReAlign AnnotationFinalizer.r=NO o=true t=~/genomes/ncbi_dataset/data/GCA_007115705.1/GCA_007115705.1_ASM711570v1_genomic.fna outdir=~/gemoma/Mt_Dactylis_glomerata selected=~/gemoma/Mt_selected a=~/genomes/ncbi_dataset/data/GCF_003473485.1/genomic.gff g=~/genomes/ncbi_dataset/data/GCF_003473485.1/GCF_003473485.1_MtrunA17r5.0-ANR_genomic.fna GAF.f="start=='M' and (isNaN(score) or score/aa&gt;=0.75)"</v>
      </c>
      <c r="G71" t="s">
        <v>177</v>
      </c>
      <c r="H71" t="str">
        <f t="shared" si="11"/>
        <v>outdir=~/gemoma/Mt_Dactylis_glomerata</v>
      </c>
      <c r="I71" t="s">
        <v>193</v>
      </c>
    </row>
    <row r="72" spans="1:9" x14ac:dyDescent="0.2">
      <c r="A72" t="s">
        <v>267</v>
      </c>
      <c r="B72" t="s">
        <v>32</v>
      </c>
      <c r="C72" t="s">
        <v>252</v>
      </c>
      <c r="D72" t="s">
        <v>251</v>
      </c>
      <c r="E72" t="str">
        <f t="shared" si="8"/>
        <v>/GCF_002870075.4_Lsat_Salinas_v11_genomic.fna</v>
      </c>
      <c r="F72" s="5" t="str">
        <f t="shared" si="9"/>
        <v>GeMoMa GeMoMaPipeline threads=12 GeMoMa.Score=ReAlign AnnotationFinalizer.r=NO o=true t=~/genomes/ncbi_dataset/data/GCF_002870075.4/GCF_002870075.4_Lsat_Salinas_v11_genomic.fna outdir=~/gemoma/Mt_Lactuca_sativa selected=~/gemoma/Mt_selected a=~/genomes/ncbi_dataset/data/GCF_003473485.1/genomic.gff g=~/genomes/ncbi_dataset/data/GCF_003473485.1/GCF_003473485.1_MtrunA17r5.0-ANR_genomic.fna GAF.f="start=='M' and (isNaN(score) or score/aa&gt;=0.75)"</v>
      </c>
      <c r="G72" t="s">
        <v>177</v>
      </c>
      <c r="H72" t="str">
        <f t="shared" ref="H72:H79" si="12">CONCATENATE(G72,A72)</f>
        <v>outdir=~/gemoma/Mt_Lactuca_sativa</v>
      </c>
      <c r="I72" t="s">
        <v>193</v>
      </c>
    </row>
    <row r="73" spans="1:9" x14ac:dyDescent="0.2">
      <c r="A73" t="s">
        <v>268</v>
      </c>
      <c r="B73" t="s">
        <v>32</v>
      </c>
      <c r="C73" t="s">
        <v>254</v>
      </c>
      <c r="D73" t="s">
        <v>253</v>
      </c>
      <c r="E73" t="str">
        <f t="shared" si="8"/>
        <v>/GCF_002127325.2_HanXRQr2.0-SUNRISE_genomic.fna</v>
      </c>
      <c r="F73" s="5" t="str">
        <f t="shared" si="9"/>
        <v>GeMoMa GeMoMaPipeline threads=12 GeMoMa.Score=ReAlign AnnotationFinalizer.r=NO o=true t=~/genomes/ncbi_dataset/data/GCF_002127325.2/GCF_002127325.2_HanXRQr2.0-SUNRISE_genomic.fna outdir=~/gemoma/Mt_Helianthus_annuus selected=~/gemoma/Mt_selected a=~/genomes/ncbi_dataset/data/GCF_003473485.1/genomic.gff g=~/genomes/ncbi_dataset/data/GCF_003473485.1/GCF_003473485.1_MtrunA17r5.0-ANR_genomic.fna GAF.f="start=='M' and (isNaN(score) or score/aa&gt;=0.75)"</v>
      </c>
      <c r="G73" t="s">
        <v>177</v>
      </c>
      <c r="H73" t="str">
        <f t="shared" si="12"/>
        <v>outdir=~/gemoma/Mt_Helianthus_annuus</v>
      </c>
      <c r="I73" t="s">
        <v>193</v>
      </c>
    </row>
    <row r="74" spans="1:9" x14ac:dyDescent="0.2">
      <c r="A74" t="s">
        <v>269</v>
      </c>
      <c r="B74" t="s">
        <v>32</v>
      </c>
      <c r="C74" t="s">
        <v>255</v>
      </c>
      <c r="D74" t="s">
        <v>256</v>
      </c>
      <c r="E74" t="str">
        <f t="shared" si="8"/>
        <v>/GCA_023525715.1_ASM2352571v1_genomic.fna</v>
      </c>
      <c r="F74" s="5" t="str">
        <f t="shared" si="9"/>
        <v>GeMoMa GeMoMaPipeline threads=12 GeMoMa.Score=ReAlign AnnotationFinalizer.r=NO o=true t=~/genomes/ncbi_dataset/data/GCA_023525715.1/GCA_023525715.1_ASM2352571v1_genomic.fna outdir=~/gemoma/Mt_Cichorium_intybus selected=~/gemoma/Mt_selected a=~/genomes/ncbi_dataset/data/GCF_003473485.1/genomic.gff g=~/genomes/ncbi_dataset/data/GCF_003473485.1/GCF_003473485.1_MtrunA17r5.0-ANR_genomic.fna GAF.f="start=='M' and (isNaN(score) or score/aa&gt;=0.75)"</v>
      </c>
      <c r="G74" t="s">
        <v>177</v>
      </c>
      <c r="H74" t="str">
        <f t="shared" si="12"/>
        <v>outdir=~/gemoma/Mt_Cichorium_intybus</v>
      </c>
      <c r="I74" t="s">
        <v>193</v>
      </c>
    </row>
    <row r="75" spans="1:9" x14ac:dyDescent="0.2">
      <c r="A75" t="s">
        <v>270</v>
      </c>
      <c r="B75" t="s">
        <v>32</v>
      </c>
      <c r="C75" t="s">
        <v>257</v>
      </c>
      <c r="D75" t="s">
        <v>258</v>
      </c>
      <c r="E75" t="str">
        <f t="shared" si="8"/>
        <v>/GCA_025667525.1_Gcor_v1_genomic.fna</v>
      </c>
      <c r="F75" s="5" t="str">
        <f t="shared" si="9"/>
        <v>GeMoMa GeMoMaPipeline threads=12 GeMoMa.Score=ReAlign AnnotationFinalizer.r=NO o=true t=~/genomes/ncbi_dataset/data/GCA_025667525.1/GCA_025667525.1_Gcor_v1_genomic.fna outdir=~/gemoma/Mt_Glebionis_coronaria selected=~/gemoma/Mt_selected a=~/genomes/ncbi_dataset/data/GCF_003473485.1/genomic.gff g=~/genomes/ncbi_dataset/data/GCF_003473485.1/GCF_003473485.1_MtrunA17r5.0-ANR_genomic.fna GAF.f="start=='M' and (isNaN(score) or score/aa&gt;=0.75)"</v>
      </c>
      <c r="G75" t="s">
        <v>177</v>
      </c>
      <c r="H75" t="str">
        <f t="shared" si="12"/>
        <v>outdir=~/gemoma/Mt_Glebionis_coronaria</v>
      </c>
      <c r="I75" t="s">
        <v>193</v>
      </c>
    </row>
    <row r="76" spans="1:9" x14ac:dyDescent="0.2">
      <c r="A76" t="s">
        <v>271</v>
      </c>
      <c r="B76" t="s">
        <v>32</v>
      </c>
      <c r="C76" t="s">
        <v>259</v>
      </c>
      <c r="D76" t="s">
        <v>260</v>
      </c>
      <c r="E76" t="str">
        <f t="shared" si="8"/>
        <v>/GCA_022545495.1_ASM2254549v1_genomic.fna</v>
      </c>
      <c r="F76" s="5" t="str">
        <f t="shared" si="9"/>
        <v>GeMoMa GeMoMaPipeline threads=12 GeMoMa.Score=ReAlign AnnotationFinalizer.r=NO o=true t=~/genomes/ncbi_dataset/data/GCA_022545495.1/GCA_022545495.1_ASM2254549v1_genomic.fna outdir=~/gemoma/Mt_Chrysanthemum_lavandulifolium selected=~/gemoma/Mt_selected a=~/genomes/ncbi_dataset/data/GCF_003473485.1/genomic.gff g=~/genomes/ncbi_dataset/data/GCF_003473485.1/GCF_003473485.1_MtrunA17r5.0-ANR_genomic.fna GAF.f="start=='M' and (isNaN(score) or score/aa&gt;=0.75)"</v>
      </c>
      <c r="G76" t="s">
        <v>177</v>
      </c>
      <c r="H76" t="str">
        <f t="shared" si="12"/>
        <v>outdir=~/gemoma/Mt_Chrysanthemum_lavandulifolium</v>
      </c>
      <c r="I76" t="s">
        <v>193</v>
      </c>
    </row>
    <row r="77" spans="1:9" x14ac:dyDescent="0.2">
      <c r="A77" t="s">
        <v>272</v>
      </c>
      <c r="B77" t="s">
        <v>32</v>
      </c>
      <c r="C77" t="s">
        <v>261</v>
      </c>
      <c r="D77" t="s">
        <v>262</v>
      </c>
      <c r="E77" t="str">
        <f t="shared" si="8"/>
        <v>/GCA_014162995.1_Aran_genomic.fna</v>
      </c>
      <c r="F77" s="5" t="str">
        <f t="shared" si="9"/>
        <v>GeMoMa GeMoMaPipeline threads=12 GeMoMa.Score=ReAlign AnnotationFinalizer.r=NO o=true t=~/genomes/ncbi_dataset/data/GCA_014162995.1/GCA_014162995.1_Aran_genomic.fna outdir=~/gemoma/Mt_Artemisia_annua selected=~/gemoma/Mt_selected a=~/genomes/ncbi_dataset/data/GCF_003473485.1/genomic.gff g=~/genomes/ncbi_dataset/data/GCF_003473485.1/GCF_003473485.1_MtrunA17r5.0-ANR_genomic.fna GAF.f="start=='M' and (isNaN(score) or score/aa&gt;=0.75)"</v>
      </c>
      <c r="G77" t="s">
        <v>177</v>
      </c>
      <c r="H77" t="str">
        <f t="shared" si="12"/>
        <v>outdir=~/gemoma/Mt_Artemisia_annua</v>
      </c>
      <c r="I77" t="s">
        <v>193</v>
      </c>
    </row>
    <row r="78" spans="1:9" x14ac:dyDescent="0.2">
      <c r="A78" t="s">
        <v>273</v>
      </c>
      <c r="B78" t="s">
        <v>32</v>
      </c>
      <c r="C78" t="s">
        <v>263</v>
      </c>
      <c r="D78" t="s">
        <v>264</v>
      </c>
      <c r="E78" t="str">
        <f t="shared" si="8"/>
        <v>/GCA_026074375.1_Tcoc_v1.0_genomic.fna</v>
      </c>
      <c r="F78" s="5" t="str">
        <f t="shared" si="9"/>
        <v>GeMoMa GeMoMaPipeline threads=12 GeMoMa.Score=ReAlign AnnotationFinalizer.r=NO o=true t=~/genomes/ncbi_dataset/data/GCA_026074375.1/GCA_026074375.1_Tcoc_v1.0_genomic.fna outdir=~/gemoma/Mt_Tanacetum_coccineum selected=~/gemoma/Mt_selected a=~/genomes/ncbi_dataset/data/GCF_003473485.1/genomic.gff g=~/genomes/ncbi_dataset/data/GCF_003473485.1/GCF_003473485.1_MtrunA17r5.0-ANR_genomic.fna GAF.f="start=='M' and (isNaN(score) or score/aa&gt;=0.75)"</v>
      </c>
      <c r="G78" t="s">
        <v>177</v>
      </c>
      <c r="H78" t="str">
        <f t="shared" si="12"/>
        <v>outdir=~/gemoma/Mt_Tanacetum_coccineum</v>
      </c>
      <c r="I78" t="s">
        <v>193</v>
      </c>
    </row>
    <row r="79" spans="1:9" x14ac:dyDescent="0.2">
      <c r="A79" t="s">
        <v>274</v>
      </c>
      <c r="B79" t="s">
        <v>32</v>
      </c>
      <c r="C79" t="s">
        <v>265</v>
      </c>
      <c r="D79" t="s">
        <v>266</v>
      </c>
      <c r="E79" t="str">
        <f t="shared" si="8"/>
        <v>/GCA_910822075.1_dSenSqu2.1_genomic.fna</v>
      </c>
      <c r="F79" s="5" t="str">
        <f t="shared" si="9"/>
        <v>GeMoMa GeMoMaPipeline threads=12 GeMoMa.Score=ReAlign AnnotationFinalizer.r=NO o=true t=~/genomes/ncbi_dataset/data/GCA_910822075.1/GCA_910822075.1_dSenSqu2.1_genomic.fna outdir=~/gemoma/Mt_Senecio_squalidus selected=~/gemoma/Mt_selected a=~/genomes/ncbi_dataset/data/GCF_003473485.1/genomic.gff g=~/genomes/ncbi_dataset/data/GCF_003473485.1/GCF_003473485.1_MtrunA17r5.0-ANR_genomic.fna GAF.f="start=='M' and (isNaN(score) or score/aa&gt;=0.75)"</v>
      </c>
      <c r="G79" t="s">
        <v>177</v>
      </c>
      <c r="H79" t="str">
        <f t="shared" si="12"/>
        <v>outdir=~/gemoma/Mt_Senecio_squalidus</v>
      </c>
      <c r="I79" t="s">
        <v>193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7E44-FD65-E24C-BE91-BCE1CDD063A7}">
  <dimension ref="A1:C70"/>
  <sheetViews>
    <sheetView topLeftCell="A42" workbookViewId="0">
      <selection activeCell="J75" sqref="J75"/>
    </sheetView>
  </sheetViews>
  <sheetFormatPr baseColWidth="10" defaultRowHeight="16" x14ac:dyDescent="0.2"/>
  <cols>
    <col min="1" max="1" width="33" bestFit="1" customWidth="1"/>
    <col min="2" max="2" width="14.33203125" bestFit="1" customWidth="1"/>
  </cols>
  <sheetData>
    <row r="1" spans="1:3" x14ac:dyDescent="0.2">
      <c r="B1" t="s">
        <v>86</v>
      </c>
      <c r="C1" t="s">
        <v>275</v>
      </c>
    </row>
    <row r="2" spans="1:3" x14ac:dyDescent="0.2">
      <c r="A2" t="s">
        <v>33</v>
      </c>
      <c r="B2" t="s">
        <v>52</v>
      </c>
      <c r="C2">
        <v>1</v>
      </c>
    </row>
    <row r="3" spans="1:3" x14ac:dyDescent="0.2">
      <c r="A3" t="s">
        <v>34</v>
      </c>
      <c r="B3" t="s">
        <v>54</v>
      </c>
      <c r="C3">
        <v>0</v>
      </c>
    </row>
    <row r="4" spans="1:3" x14ac:dyDescent="0.2">
      <c r="A4" t="s">
        <v>35</v>
      </c>
      <c r="B4" t="s">
        <v>53</v>
      </c>
      <c r="C4">
        <v>1</v>
      </c>
    </row>
    <row r="5" spans="1:3" x14ac:dyDescent="0.2">
      <c r="A5" t="s">
        <v>36</v>
      </c>
      <c r="B5" t="s">
        <v>54</v>
      </c>
      <c r="C5">
        <v>0</v>
      </c>
    </row>
    <row r="6" spans="1:3" x14ac:dyDescent="0.2">
      <c r="A6" t="s">
        <v>37</v>
      </c>
      <c r="B6" t="s">
        <v>54</v>
      </c>
      <c r="C6">
        <v>0</v>
      </c>
    </row>
    <row r="7" spans="1:3" x14ac:dyDescent="0.2">
      <c r="A7" t="s">
        <v>38</v>
      </c>
      <c r="B7" t="s">
        <v>54</v>
      </c>
      <c r="C7">
        <v>0</v>
      </c>
    </row>
    <row r="8" spans="1:3" x14ac:dyDescent="0.2">
      <c r="A8" t="s">
        <v>39</v>
      </c>
      <c r="B8" t="s">
        <v>54</v>
      </c>
      <c r="C8">
        <v>0</v>
      </c>
    </row>
    <row r="9" spans="1:3" x14ac:dyDescent="0.2">
      <c r="A9" t="s">
        <v>40</v>
      </c>
      <c r="B9" t="s">
        <v>54</v>
      </c>
      <c r="C9">
        <v>0</v>
      </c>
    </row>
    <row r="10" spans="1:3" x14ac:dyDescent="0.2">
      <c r="A10" t="s">
        <v>41</v>
      </c>
      <c r="B10" t="s">
        <v>54</v>
      </c>
      <c r="C10">
        <v>0</v>
      </c>
    </row>
    <row r="11" spans="1:3" x14ac:dyDescent="0.2">
      <c r="A11" t="s">
        <v>42</v>
      </c>
      <c r="B11" t="s">
        <v>54</v>
      </c>
      <c r="C11">
        <v>0</v>
      </c>
    </row>
    <row r="12" spans="1:3" x14ac:dyDescent="0.2">
      <c r="A12" t="s">
        <v>43</v>
      </c>
      <c r="B12" t="s">
        <v>54</v>
      </c>
      <c r="C12">
        <v>0</v>
      </c>
    </row>
    <row r="13" spans="1:3" x14ac:dyDescent="0.2">
      <c r="A13" t="s">
        <v>44</v>
      </c>
      <c r="B13" t="s">
        <v>54</v>
      </c>
      <c r="C13">
        <v>0</v>
      </c>
    </row>
    <row r="14" spans="1:3" x14ac:dyDescent="0.2">
      <c r="A14" t="s">
        <v>45</v>
      </c>
      <c r="B14" t="s">
        <v>54</v>
      </c>
      <c r="C14">
        <v>0</v>
      </c>
    </row>
    <row r="15" spans="1:3" x14ac:dyDescent="0.2">
      <c r="A15" t="s">
        <v>63</v>
      </c>
      <c r="B15" t="s">
        <v>87</v>
      </c>
      <c r="C15">
        <v>0</v>
      </c>
    </row>
    <row r="16" spans="1:3" x14ac:dyDescent="0.2">
      <c r="A16" t="s">
        <v>64</v>
      </c>
      <c r="B16" t="s">
        <v>87</v>
      </c>
      <c r="C16">
        <v>0</v>
      </c>
    </row>
    <row r="17" spans="1:3" x14ac:dyDescent="0.2">
      <c r="A17" t="s">
        <v>65</v>
      </c>
      <c r="B17" t="s">
        <v>87</v>
      </c>
      <c r="C17">
        <v>0</v>
      </c>
    </row>
    <row r="18" spans="1:3" x14ac:dyDescent="0.2">
      <c r="A18" t="s">
        <v>138</v>
      </c>
      <c r="B18" t="s">
        <v>416</v>
      </c>
      <c r="C18">
        <v>0</v>
      </c>
    </row>
    <row r="19" spans="1:3" x14ac:dyDescent="0.2">
      <c r="A19" t="s">
        <v>139</v>
      </c>
      <c r="B19" t="s">
        <v>417</v>
      </c>
      <c r="C19">
        <v>0</v>
      </c>
    </row>
    <row r="20" spans="1:3" x14ac:dyDescent="0.2">
      <c r="A20" t="s">
        <v>140</v>
      </c>
      <c r="B20" t="s">
        <v>418</v>
      </c>
      <c r="C20">
        <v>0</v>
      </c>
    </row>
    <row r="21" spans="1:3" x14ac:dyDescent="0.2">
      <c r="A21" t="s">
        <v>141</v>
      </c>
      <c r="B21" t="s">
        <v>417</v>
      </c>
      <c r="C21">
        <v>0</v>
      </c>
    </row>
    <row r="22" spans="1:3" x14ac:dyDescent="0.2">
      <c r="A22" t="s">
        <v>142</v>
      </c>
      <c r="B22" t="s">
        <v>417</v>
      </c>
      <c r="C22">
        <v>0</v>
      </c>
    </row>
    <row r="23" spans="1:3" x14ac:dyDescent="0.2">
      <c r="A23" t="s">
        <v>143</v>
      </c>
      <c r="B23" t="s">
        <v>416</v>
      </c>
      <c r="C23">
        <v>0</v>
      </c>
    </row>
    <row r="24" spans="1:3" x14ac:dyDescent="0.2">
      <c r="A24" t="s">
        <v>144</v>
      </c>
      <c r="B24" t="s">
        <v>417</v>
      </c>
      <c r="C24">
        <v>0</v>
      </c>
    </row>
    <row r="25" spans="1:3" x14ac:dyDescent="0.2">
      <c r="A25" t="s">
        <v>145</v>
      </c>
      <c r="B25" t="s">
        <v>418</v>
      </c>
      <c r="C25">
        <v>0</v>
      </c>
    </row>
    <row r="26" spans="1:3" x14ac:dyDescent="0.2">
      <c r="A26" t="s">
        <v>146</v>
      </c>
      <c r="B26" t="s">
        <v>417</v>
      </c>
      <c r="C26">
        <v>0</v>
      </c>
    </row>
    <row r="27" spans="1:3" x14ac:dyDescent="0.2">
      <c r="A27" t="s">
        <v>147</v>
      </c>
      <c r="B27" t="s">
        <v>419</v>
      </c>
      <c r="C27">
        <v>1</v>
      </c>
    </row>
    <row r="28" spans="1:3" x14ac:dyDescent="0.2">
      <c r="A28" t="s">
        <v>148</v>
      </c>
      <c r="B28" t="s">
        <v>419</v>
      </c>
      <c r="C28">
        <v>1</v>
      </c>
    </row>
    <row r="29" spans="1:3" x14ac:dyDescent="0.2">
      <c r="A29" t="s">
        <v>149</v>
      </c>
      <c r="B29" t="s">
        <v>417</v>
      </c>
      <c r="C29">
        <v>0</v>
      </c>
    </row>
    <row r="30" spans="1:3" x14ac:dyDescent="0.2">
      <c r="A30" t="s">
        <v>150</v>
      </c>
      <c r="B30" t="s">
        <v>417</v>
      </c>
      <c r="C30">
        <v>0</v>
      </c>
    </row>
    <row r="31" spans="1:3" x14ac:dyDescent="0.2">
      <c r="A31" t="s">
        <v>151</v>
      </c>
      <c r="B31" t="s">
        <v>420</v>
      </c>
      <c r="C31">
        <v>0</v>
      </c>
    </row>
    <row r="32" spans="1:3" x14ac:dyDescent="0.2">
      <c r="A32" t="s">
        <v>152</v>
      </c>
      <c r="B32" t="s">
        <v>417</v>
      </c>
      <c r="C32">
        <v>0</v>
      </c>
    </row>
    <row r="33" spans="1:3" x14ac:dyDescent="0.2">
      <c r="A33" t="s">
        <v>153</v>
      </c>
      <c r="B33" t="s">
        <v>421</v>
      </c>
      <c r="C33">
        <v>0</v>
      </c>
    </row>
    <row r="34" spans="1:3" x14ac:dyDescent="0.2">
      <c r="A34" t="s">
        <v>154</v>
      </c>
      <c r="B34" t="s">
        <v>417</v>
      </c>
      <c r="C34">
        <v>0</v>
      </c>
    </row>
    <row r="35" spans="1:3" x14ac:dyDescent="0.2">
      <c r="A35" t="s">
        <v>155</v>
      </c>
      <c r="B35" t="s">
        <v>417</v>
      </c>
      <c r="C35">
        <v>0</v>
      </c>
    </row>
    <row r="36" spans="1:3" x14ac:dyDescent="0.2">
      <c r="A36" t="s">
        <v>156</v>
      </c>
      <c r="B36" t="s">
        <v>418</v>
      </c>
      <c r="C36">
        <v>0</v>
      </c>
    </row>
    <row r="37" spans="1:3" x14ac:dyDescent="0.2">
      <c r="A37" t="s">
        <v>157</v>
      </c>
      <c r="B37" t="s">
        <v>418</v>
      </c>
      <c r="C37">
        <v>0</v>
      </c>
    </row>
    <row r="38" spans="1:3" x14ac:dyDescent="0.2">
      <c r="A38" t="s">
        <v>172</v>
      </c>
      <c r="B38" t="s">
        <v>422</v>
      </c>
      <c r="C38">
        <v>1</v>
      </c>
    </row>
    <row r="39" spans="1:3" x14ac:dyDescent="0.2">
      <c r="A39" t="s">
        <v>173</v>
      </c>
      <c r="B39" t="s">
        <v>423</v>
      </c>
      <c r="C39">
        <v>1</v>
      </c>
    </row>
    <row r="40" spans="1:3" x14ac:dyDescent="0.2">
      <c r="A40" t="s">
        <v>174</v>
      </c>
      <c r="B40" t="s">
        <v>424</v>
      </c>
      <c r="C40">
        <v>1</v>
      </c>
    </row>
    <row r="41" spans="1:3" x14ac:dyDescent="0.2">
      <c r="A41" t="s">
        <v>175</v>
      </c>
      <c r="B41" t="s">
        <v>422</v>
      </c>
      <c r="C41">
        <v>1</v>
      </c>
    </row>
    <row r="42" spans="1:3" x14ac:dyDescent="0.2">
      <c r="A42" t="s">
        <v>232</v>
      </c>
      <c r="B42" t="s">
        <v>425</v>
      </c>
      <c r="C42">
        <v>1</v>
      </c>
    </row>
    <row r="43" spans="1:3" x14ac:dyDescent="0.2">
      <c r="A43" t="s">
        <v>233</v>
      </c>
      <c r="B43" t="s">
        <v>425</v>
      </c>
      <c r="C43">
        <v>1</v>
      </c>
    </row>
    <row r="44" spans="1:3" x14ac:dyDescent="0.2">
      <c r="A44" t="s">
        <v>234</v>
      </c>
      <c r="B44" t="s">
        <v>425</v>
      </c>
      <c r="C44">
        <v>1</v>
      </c>
    </row>
    <row r="45" spans="1:3" x14ac:dyDescent="0.2">
      <c r="A45" t="s">
        <v>235</v>
      </c>
      <c r="B45" t="s">
        <v>426</v>
      </c>
      <c r="C45">
        <v>1</v>
      </c>
    </row>
    <row r="46" spans="1:3" x14ac:dyDescent="0.2">
      <c r="A46" t="s">
        <v>236</v>
      </c>
      <c r="B46" t="s">
        <v>427</v>
      </c>
      <c r="C46">
        <v>0</v>
      </c>
    </row>
    <row r="47" spans="1:3" x14ac:dyDescent="0.2">
      <c r="A47" t="s">
        <v>237</v>
      </c>
      <c r="B47" t="s">
        <v>427</v>
      </c>
      <c r="C47">
        <v>0</v>
      </c>
    </row>
    <row r="48" spans="1:3" x14ac:dyDescent="0.2">
      <c r="A48" t="s">
        <v>238</v>
      </c>
      <c r="B48" t="s">
        <v>427</v>
      </c>
      <c r="C48">
        <v>0</v>
      </c>
    </row>
    <row r="49" spans="1:3" x14ac:dyDescent="0.2">
      <c r="A49" t="s">
        <v>239</v>
      </c>
      <c r="B49" t="s">
        <v>427</v>
      </c>
      <c r="C49">
        <v>0</v>
      </c>
    </row>
    <row r="50" spans="1:3" x14ac:dyDescent="0.2">
      <c r="A50" t="s">
        <v>240</v>
      </c>
      <c r="B50" t="s">
        <v>427</v>
      </c>
      <c r="C50">
        <v>0</v>
      </c>
    </row>
    <row r="51" spans="1:3" x14ac:dyDescent="0.2">
      <c r="A51" t="s">
        <v>241</v>
      </c>
      <c r="B51" t="s">
        <v>427</v>
      </c>
      <c r="C51">
        <v>0</v>
      </c>
    </row>
    <row r="52" spans="1:3" x14ac:dyDescent="0.2">
      <c r="A52" t="s">
        <v>242</v>
      </c>
      <c r="B52" t="s">
        <v>427</v>
      </c>
      <c r="C52">
        <v>0</v>
      </c>
    </row>
    <row r="53" spans="1:3" x14ac:dyDescent="0.2">
      <c r="A53" t="s">
        <v>243</v>
      </c>
      <c r="B53" t="s">
        <v>427</v>
      </c>
      <c r="C53">
        <v>0</v>
      </c>
    </row>
    <row r="54" spans="1:3" x14ac:dyDescent="0.2">
      <c r="A54" t="s">
        <v>244</v>
      </c>
      <c r="B54" t="s">
        <v>55</v>
      </c>
      <c r="C54">
        <v>1</v>
      </c>
    </row>
    <row r="55" spans="1:3" x14ac:dyDescent="0.2">
      <c r="A55" t="s">
        <v>245</v>
      </c>
      <c r="B55" t="s">
        <v>55</v>
      </c>
      <c r="C55">
        <v>1</v>
      </c>
    </row>
    <row r="56" spans="1:3" x14ac:dyDescent="0.2">
      <c r="A56" t="s">
        <v>246</v>
      </c>
      <c r="B56" t="s">
        <v>55</v>
      </c>
      <c r="C56">
        <v>1</v>
      </c>
    </row>
    <row r="57" spans="1:3" x14ac:dyDescent="0.2">
      <c r="A57" t="s">
        <v>247</v>
      </c>
      <c r="B57" t="s">
        <v>55</v>
      </c>
      <c r="C57">
        <v>1</v>
      </c>
    </row>
    <row r="58" spans="1:3" x14ac:dyDescent="0.2">
      <c r="A58" t="s">
        <v>248</v>
      </c>
      <c r="B58" t="s">
        <v>55</v>
      </c>
      <c r="C58">
        <v>1</v>
      </c>
    </row>
    <row r="59" spans="1:3" x14ac:dyDescent="0.2">
      <c r="A59" t="s">
        <v>249</v>
      </c>
      <c r="B59" t="s">
        <v>55</v>
      </c>
      <c r="C59">
        <v>1</v>
      </c>
    </row>
    <row r="60" spans="1:3" x14ac:dyDescent="0.2">
      <c r="A60" t="s">
        <v>250</v>
      </c>
      <c r="B60" t="s">
        <v>55</v>
      </c>
      <c r="C60">
        <v>1</v>
      </c>
    </row>
    <row r="61" spans="1:3" x14ac:dyDescent="0.2">
      <c r="A61" t="s">
        <v>267</v>
      </c>
      <c r="B61" t="s">
        <v>428</v>
      </c>
      <c r="C61">
        <v>1</v>
      </c>
    </row>
    <row r="62" spans="1:3" x14ac:dyDescent="0.2">
      <c r="A62" t="s">
        <v>268</v>
      </c>
      <c r="B62" t="s">
        <v>428</v>
      </c>
      <c r="C62">
        <v>1</v>
      </c>
    </row>
    <row r="63" spans="1:3" x14ac:dyDescent="0.2">
      <c r="A63" t="s">
        <v>269</v>
      </c>
      <c r="B63" t="s">
        <v>428</v>
      </c>
      <c r="C63">
        <v>1</v>
      </c>
    </row>
    <row r="64" spans="1:3" x14ac:dyDescent="0.2">
      <c r="A64" t="s">
        <v>270</v>
      </c>
      <c r="B64" t="s">
        <v>428</v>
      </c>
      <c r="C64">
        <v>1</v>
      </c>
    </row>
    <row r="65" spans="1:3" x14ac:dyDescent="0.2">
      <c r="A65" t="s">
        <v>271</v>
      </c>
      <c r="B65" t="s">
        <v>428</v>
      </c>
      <c r="C65">
        <v>1</v>
      </c>
    </row>
    <row r="66" spans="1:3" x14ac:dyDescent="0.2">
      <c r="A66" t="s">
        <v>272</v>
      </c>
      <c r="B66" t="s">
        <v>428</v>
      </c>
      <c r="C66">
        <v>1</v>
      </c>
    </row>
    <row r="67" spans="1:3" x14ac:dyDescent="0.2">
      <c r="A67" t="s">
        <v>273</v>
      </c>
      <c r="B67" t="s">
        <v>428</v>
      </c>
      <c r="C67">
        <v>1</v>
      </c>
    </row>
    <row r="68" spans="1:3" x14ac:dyDescent="0.2">
      <c r="A68" t="s">
        <v>274</v>
      </c>
      <c r="B68" t="s">
        <v>428</v>
      </c>
      <c r="C68">
        <v>1</v>
      </c>
    </row>
    <row r="69" spans="1:3" x14ac:dyDescent="0.2">
      <c r="A69" t="s">
        <v>468</v>
      </c>
      <c r="B69" t="s">
        <v>55</v>
      </c>
      <c r="C69">
        <v>1</v>
      </c>
    </row>
    <row r="70" spans="1:3" x14ac:dyDescent="0.2">
      <c r="A70" t="s">
        <v>467</v>
      </c>
      <c r="B70" t="s">
        <v>56</v>
      </c>
      <c r="C7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67E5-C37B-5F49-ADA0-AE2308D679ED}">
  <dimension ref="A1:H70"/>
  <sheetViews>
    <sheetView topLeftCell="A48" zoomScale="90" zoomScaleNormal="90" workbookViewId="0">
      <selection activeCell="J74" sqref="J74"/>
    </sheetView>
  </sheetViews>
  <sheetFormatPr baseColWidth="10" defaultRowHeight="16" x14ac:dyDescent="0.2"/>
  <cols>
    <col min="1" max="1" width="33" bestFit="1" customWidth="1"/>
  </cols>
  <sheetData>
    <row r="1" spans="1:8" x14ac:dyDescent="0.2">
      <c r="B1" t="s">
        <v>49</v>
      </c>
      <c r="C1" t="s">
        <v>50</v>
      </c>
      <c r="D1" t="s">
        <v>48</v>
      </c>
      <c r="E1" t="s">
        <v>46</v>
      </c>
      <c r="F1" t="s">
        <v>47</v>
      </c>
      <c r="H1" t="s">
        <v>275</v>
      </c>
    </row>
    <row r="2" spans="1:8" x14ac:dyDescent="0.2">
      <c r="A2" t="s">
        <v>33</v>
      </c>
      <c r="B2" s="11">
        <v>1</v>
      </c>
      <c r="C2" s="11">
        <v>1</v>
      </c>
      <c r="D2" s="11">
        <v>1</v>
      </c>
      <c r="E2" s="11">
        <v>1</v>
      </c>
      <c r="F2" s="11">
        <v>1</v>
      </c>
      <c r="H2" s="11">
        <v>1</v>
      </c>
    </row>
    <row r="3" spans="1:8" x14ac:dyDescent="0.2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</row>
    <row r="4" spans="1:8" x14ac:dyDescent="0.2">
      <c r="A4" t="s">
        <v>35</v>
      </c>
      <c r="B4" s="11">
        <v>1</v>
      </c>
      <c r="C4" s="11">
        <v>1</v>
      </c>
      <c r="D4" s="11">
        <v>1</v>
      </c>
      <c r="E4" s="11">
        <v>1</v>
      </c>
      <c r="F4" s="11">
        <v>1</v>
      </c>
      <c r="H4" s="11">
        <v>1</v>
      </c>
    </row>
    <row r="5" spans="1:8" x14ac:dyDescent="0.2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H5">
        <v>0</v>
      </c>
    </row>
    <row r="6" spans="1:8" x14ac:dyDescent="0.2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H6">
        <v>0</v>
      </c>
    </row>
    <row r="7" spans="1:8" x14ac:dyDescent="0.2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H7">
        <v>0</v>
      </c>
    </row>
    <row r="8" spans="1:8" x14ac:dyDescent="0.2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H8">
        <v>0</v>
      </c>
    </row>
    <row r="9" spans="1:8" x14ac:dyDescent="0.2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H9">
        <v>0</v>
      </c>
    </row>
    <row r="10" spans="1:8" x14ac:dyDescent="0.2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H10">
        <v>0</v>
      </c>
    </row>
    <row r="11" spans="1:8" x14ac:dyDescent="0.2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H11">
        <v>0</v>
      </c>
    </row>
    <row r="12" spans="1:8" x14ac:dyDescent="0.2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H12">
        <v>0</v>
      </c>
    </row>
    <row r="13" spans="1:8" x14ac:dyDescent="0.2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H13">
        <v>0</v>
      </c>
    </row>
    <row r="14" spans="1:8" x14ac:dyDescent="0.2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H14">
        <v>0</v>
      </c>
    </row>
    <row r="15" spans="1:8" x14ac:dyDescent="0.2">
      <c r="A15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H15">
        <v>0</v>
      </c>
    </row>
    <row r="16" spans="1:8" x14ac:dyDescent="0.2">
      <c r="A16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H16">
        <v>0</v>
      </c>
    </row>
    <row r="17" spans="1:8" x14ac:dyDescent="0.2">
      <c r="A17" t="s">
        <v>65</v>
      </c>
      <c r="B17">
        <v>0</v>
      </c>
      <c r="C17">
        <v>0</v>
      </c>
      <c r="D17">
        <v>0</v>
      </c>
      <c r="E17">
        <v>0</v>
      </c>
      <c r="F17">
        <v>0</v>
      </c>
      <c r="H17">
        <v>0</v>
      </c>
    </row>
    <row r="18" spans="1:8" x14ac:dyDescent="0.2">
      <c r="A18" t="s">
        <v>138</v>
      </c>
      <c r="B18">
        <v>0</v>
      </c>
      <c r="C18">
        <v>0</v>
      </c>
      <c r="D18">
        <v>0</v>
      </c>
      <c r="E18">
        <v>0</v>
      </c>
      <c r="F18">
        <v>0</v>
      </c>
      <c r="H18">
        <v>0</v>
      </c>
    </row>
    <row r="19" spans="1:8" x14ac:dyDescent="0.2">
      <c r="A19" t="s">
        <v>139</v>
      </c>
      <c r="B19">
        <v>0</v>
      </c>
      <c r="C19">
        <v>0</v>
      </c>
      <c r="D19">
        <v>0</v>
      </c>
      <c r="E19">
        <v>0</v>
      </c>
      <c r="F19">
        <v>0</v>
      </c>
      <c r="H19">
        <v>0</v>
      </c>
    </row>
    <row r="20" spans="1:8" x14ac:dyDescent="0.2">
      <c r="A20" t="s">
        <v>140</v>
      </c>
      <c r="B20">
        <v>0</v>
      </c>
      <c r="C20">
        <v>0</v>
      </c>
      <c r="D20">
        <v>0</v>
      </c>
      <c r="E20">
        <v>0</v>
      </c>
      <c r="F20">
        <v>0</v>
      </c>
      <c r="H20">
        <v>0</v>
      </c>
    </row>
    <row r="21" spans="1:8" x14ac:dyDescent="0.2">
      <c r="A21" t="s">
        <v>141</v>
      </c>
      <c r="B21">
        <v>0</v>
      </c>
      <c r="C21">
        <v>0</v>
      </c>
      <c r="D21">
        <v>0</v>
      </c>
      <c r="E21">
        <v>0</v>
      </c>
      <c r="F21">
        <v>0</v>
      </c>
      <c r="H21">
        <v>0</v>
      </c>
    </row>
    <row r="22" spans="1:8" x14ac:dyDescent="0.2">
      <c r="A22" t="s">
        <v>142</v>
      </c>
      <c r="B22">
        <v>0</v>
      </c>
      <c r="C22">
        <v>0</v>
      </c>
      <c r="D22">
        <v>0</v>
      </c>
      <c r="E22">
        <v>0</v>
      </c>
      <c r="F22">
        <v>0</v>
      </c>
      <c r="H22">
        <v>0</v>
      </c>
    </row>
    <row r="23" spans="1:8" x14ac:dyDescent="0.2">
      <c r="A23" t="s">
        <v>143</v>
      </c>
      <c r="B23">
        <v>0</v>
      </c>
      <c r="C23">
        <v>0</v>
      </c>
      <c r="D23">
        <v>0</v>
      </c>
      <c r="E23">
        <v>0</v>
      </c>
      <c r="F23">
        <v>0</v>
      </c>
      <c r="H23">
        <v>0</v>
      </c>
    </row>
    <row r="24" spans="1:8" x14ac:dyDescent="0.2">
      <c r="A24" t="s">
        <v>144</v>
      </c>
      <c r="B24">
        <v>0</v>
      </c>
      <c r="C24">
        <v>0</v>
      </c>
      <c r="D24">
        <v>0</v>
      </c>
      <c r="E24">
        <v>0</v>
      </c>
      <c r="F24">
        <v>0</v>
      </c>
      <c r="H24">
        <v>0</v>
      </c>
    </row>
    <row r="25" spans="1:8" x14ac:dyDescent="0.2">
      <c r="A25" t="s">
        <v>145</v>
      </c>
      <c r="B25">
        <v>0</v>
      </c>
      <c r="C25">
        <v>0</v>
      </c>
      <c r="D25">
        <v>0</v>
      </c>
      <c r="E25">
        <v>0</v>
      </c>
      <c r="F25">
        <v>0</v>
      </c>
      <c r="H25">
        <v>0</v>
      </c>
    </row>
    <row r="26" spans="1:8" x14ac:dyDescent="0.2">
      <c r="A26" t="s">
        <v>146</v>
      </c>
      <c r="B26">
        <v>0</v>
      </c>
      <c r="C26">
        <v>0</v>
      </c>
      <c r="D26">
        <v>0</v>
      </c>
      <c r="E26">
        <v>0</v>
      </c>
      <c r="F26">
        <v>0</v>
      </c>
      <c r="H26">
        <v>0</v>
      </c>
    </row>
    <row r="27" spans="1:8" x14ac:dyDescent="0.2">
      <c r="A27" t="s">
        <v>147</v>
      </c>
      <c r="B27" s="11">
        <v>1</v>
      </c>
      <c r="C27" s="11">
        <v>1</v>
      </c>
      <c r="D27" s="11">
        <v>1</v>
      </c>
      <c r="E27" s="11">
        <v>1</v>
      </c>
      <c r="F27" s="11">
        <v>1</v>
      </c>
      <c r="H27" s="11">
        <v>1</v>
      </c>
    </row>
    <row r="28" spans="1:8" x14ac:dyDescent="0.2">
      <c r="A28" t="s">
        <v>148</v>
      </c>
      <c r="B28" s="11">
        <v>1</v>
      </c>
      <c r="C28" s="11">
        <v>1</v>
      </c>
      <c r="D28" s="11">
        <v>1</v>
      </c>
      <c r="E28" s="11">
        <v>1</v>
      </c>
      <c r="F28" s="11">
        <v>1</v>
      </c>
      <c r="H28" s="11">
        <v>1</v>
      </c>
    </row>
    <row r="29" spans="1:8" x14ac:dyDescent="0.2">
      <c r="A29" t="s">
        <v>149</v>
      </c>
      <c r="B29">
        <v>0</v>
      </c>
      <c r="C29">
        <v>0</v>
      </c>
      <c r="D29">
        <v>0</v>
      </c>
      <c r="E29">
        <v>0</v>
      </c>
      <c r="F29">
        <v>0</v>
      </c>
      <c r="H29">
        <v>0</v>
      </c>
    </row>
    <row r="30" spans="1:8" x14ac:dyDescent="0.2">
      <c r="A30" t="s">
        <v>150</v>
      </c>
      <c r="B30">
        <v>0</v>
      </c>
      <c r="C30">
        <v>0</v>
      </c>
      <c r="D30">
        <v>0</v>
      </c>
      <c r="E30">
        <v>0</v>
      </c>
      <c r="F30">
        <v>0</v>
      </c>
      <c r="H30">
        <v>0</v>
      </c>
    </row>
    <row r="31" spans="1:8" x14ac:dyDescent="0.2">
      <c r="A31" t="s">
        <v>151</v>
      </c>
      <c r="B31">
        <v>0</v>
      </c>
      <c r="C31">
        <v>0</v>
      </c>
      <c r="D31">
        <v>0</v>
      </c>
      <c r="E31">
        <v>0</v>
      </c>
      <c r="F31">
        <v>0</v>
      </c>
      <c r="H31">
        <v>0</v>
      </c>
    </row>
    <row r="32" spans="1:8" x14ac:dyDescent="0.2">
      <c r="A32" t="s">
        <v>152</v>
      </c>
      <c r="B32">
        <v>0</v>
      </c>
      <c r="C32">
        <v>0</v>
      </c>
      <c r="D32">
        <v>0</v>
      </c>
      <c r="E32">
        <v>0</v>
      </c>
      <c r="F32">
        <v>0</v>
      </c>
      <c r="H32">
        <v>0</v>
      </c>
    </row>
    <row r="33" spans="1:8" x14ac:dyDescent="0.2">
      <c r="A33" t="s">
        <v>153</v>
      </c>
      <c r="B33">
        <v>0</v>
      </c>
      <c r="C33">
        <v>0</v>
      </c>
      <c r="D33">
        <v>0</v>
      </c>
      <c r="E33">
        <v>0</v>
      </c>
      <c r="F33">
        <v>0</v>
      </c>
      <c r="H33">
        <v>0</v>
      </c>
    </row>
    <row r="34" spans="1:8" x14ac:dyDescent="0.2">
      <c r="A34" t="s">
        <v>154</v>
      </c>
      <c r="B34">
        <v>0</v>
      </c>
      <c r="C34">
        <v>0</v>
      </c>
      <c r="D34">
        <v>0</v>
      </c>
      <c r="E34">
        <v>0</v>
      </c>
      <c r="F34">
        <v>0</v>
      </c>
      <c r="H34">
        <v>0</v>
      </c>
    </row>
    <row r="35" spans="1:8" x14ac:dyDescent="0.2">
      <c r="A35" t="s">
        <v>155</v>
      </c>
      <c r="B35">
        <v>0</v>
      </c>
      <c r="C35">
        <v>0</v>
      </c>
      <c r="D35">
        <v>0</v>
      </c>
      <c r="E35">
        <v>0</v>
      </c>
      <c r="F35">
        <v>0</v>
      </c>
      <c r="H35">
        <v>0</v>
      </c>
    </row>
    <row r="36" spans="1:8" x14ac:dyDescent="0.2">
      <c r="A36" t="s">
        <v>156</v>
      </c>
      <c r="B36">
        <v>0</v>
      </c>
      <c r="C36">
        <v>0</v>
      </c>
      <c r="D36">
        <v>0</v>
      </c>
      <c r="E36">
        <v>0</v>
      </c>
      <c r="F36">
        <v>0</v>
      </c>
      <c r="H36">
        <v>0</v>
      </c>
    </row>
    <row r="37" spans="1:8" x14ac:dyDescent="0.2">
      <c r="A37" t="s">
        <v>157</v>
      </c>
      <c r="B37">
        <v>0</v>
      </c>
      <c r="C37">
        <v>0</v>
      </c>
      <c r="D37">
        <v>0</v>
      </c>
      <c r="E37">
        <v>0</v>
      </c>
      <c r="F37">
        <v>0</v>
      </c>
      <c r="H37">
        <v>0</v>
      </c>
    </row>
    <row r="38" spans="1:8" x14ac:dyDescent="0.2">
      <c r="A38" t="s">
        <v>172</v>
      </c>
      <c r="B38" s="11">
        <v>1</v>
      </c>
      <c r="C38" s="11">
        <v>1</v>
      </c>
      <c r="D38" s="11">
        <v>1</v>
      </c>
      <c r="E38" s="11">
        <v>1</v>
      </c>
      <c r="F38" s="11">
        <v>1</v>
      </c>
      <c r="H38" s="11">
        <v>1</v>
      </c>
    </row>
    <row r="39" spans="1:8" x14ac:dyDescent="0.2">
      <c r="A39" t="s">
        <v>173</v>
      </c>
      <c r="B39" s="11">
        <v>1</v>
      </c>
      <c r="C39" s="11">
        <v>1</v>
      </c>
      <c r="D39" s="11">
        <v>1</v>
      </c>
      <c r="E39" s="11">
        <v>1</v>
      </c>
      <c r="F39" s="11">
        <v>1</v>
      </c>
      <c r="H39" s="11">
        <v>1</v>
      </c>
    </row>
    <row r="40" spans="1:8" x14ac:dyDescent="0.2">
      <c r="A40" t="s">
        <v>174</v>
      </c>
      <c r="B40" s="11">
        <v>1</v>
      </c>
      <c r="C40" s="11">
        <v>1</v>
      </c>
      <c r="D40" s="11">
        <v>1</v>
      </c>
      <c r="E40" s="11">
        <v>1</v>
      </c>
      <c r="F40" s="11">
        <v>1</v>
      </c>
      <c r="H40" s="11">
        <v>1</v>
      </c>
    </row>
    <row r="41" spans="1:8" x14ac:dyDescent="0.2">
      <c r="A41" t="s">
        <v>175</v>
      </c>
      <c r="B41" s="11">
        <v>1</v>
      </c>
      <c r="C41" s="11">
        <v>1</v>
      </c>
      <c r="D41" s="11">
        <v>1</v>
      </c>
      <c r="E41" s="11">
        <v>1</v>
      </c>
      <c r="F41" s="11">
        <v>1</v>
      </c>
      <c r="H41" s="11">
        <v>1</v>
      </c>
    </row>
    <row r="42" spans="1:8" x14ac:dyDescent="0.2">
      <c r="A42" t="s">
        <v>232</v>
      </c>
      <c r="B42" s="11">
        <v>1</v>
      </c>
      <c r="C42" s="11">
        <v>1</v>
      </c>
      <c r="D42" s="11">
        <v>1</v>
      </c>
      <c r="E42" s="11">
        <v>1</v>
      </c>
      <c r="F42" s="11">
        <v>1</v>
      </c>
      <c r="H42" s="11">
        <v>1</v>
      </c>
    </row>
    <row r="43" spans="1:8" x14ac:dyDescent="0.2">
      <c r="A43" t="s">
        <v>233</v>
      </c>
      <c r="B43" s="11">
        <v>1</v>
      </c>
      <c r="C43" s="11">
        <v>1</v>
      </c>
      <c r="D43" s="11">
        <v>1</v>
      </c>
      <c r="E43" s="11">
        <v>1</v>
      </c>
      <c r="F43" s="11">
        <v>1</v>
      </c>
      <c r="H43" s="11">
        <v>1</v>
      </c>
    </row>
    <row r="44" spans="1:8" x14ac:dyDescent="0.2">
      <c r="A44" t="s">
        <v>234</v>
      </c>
      <c r="B44" s="11">
        <v>1</v>
      </c>
      <c r="C44" s="11">
        <v>1</v>
      </c>
      <c r="D44" s="11">
        <v>1</v>
      </c>
      <c r="E44" s="11">
        <v>1</v>
      </c>
      <c r="F44" s="11">
        <v>1</v>
      </c>
      <c r="H44" s="11">
        <v>1</v>
      </c>
    </row>
    <row r="45" spans="1:8" x14ac:dyDescent="0.2">
      <c r="A45" t="s">
        <v>235</v>
      </c>
      <c r="B45" s="11">
        <v>1</v>
      </c>
      <c r="C45" s="11">
        <v>1</v>
      </c>
      <c r="D45" s="11">
        <v>1</v>
      </c>
      <c r="E45" s="14">
        <v>0</v>
      </c>
      <c r="F45" s="11">
        <v>1</v>
      </c>
      <c r="H45" s="11">
        <v>1</v>
      </c>
    </row>
    <row r="46" spans="1:8" x14ac:dyDescent="0.2">
      <c r="A46" t="s">
        <v>236</v>
      </c>
      <c r="B46">
        <v>0</v>
      </c>
      <c r="C46">
        <v>0</v>
      </c>
      <c r="D46">
        <v>0</v>
      </c>
      <c r="E46">
        <v>0</v>
      </c>
      <c r="F46">
        <v>0</v>
      </c>
      <c r="H46">
        <v>0</v>
      </c>
    </row>
    <row r="47" spans="1:8" x14ac:dyDescent="0.2">
      <c r="A47" t="s">
        <v>237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</row>
    <row r="48" spans="1:8" x14ac:dyDescent="0.2">
      <c r="A48" t="s">
        <v>238</v>
      </c>
      <c r="B48">
        <v>0</v>
      </c>
      <c r="C48">
        <v>0</v>
      </c>
      <c r="D48">
        <v>0</v>
      </c>
      <c r="E48">
        <v>0</v>
      </c>
      <c r="F48">
        <v>0</v>
      </c>
      <c r="H48">
        <v>0</v>
      </c>
    </row>
    <row r="49" spans="1:8" x14ac:dyDescent="0.2">
      <c r="A49" t="s">
        <v>239</v>
      </c>
      <c r="B49">
        <v>0</v>
      </c>
      <c r="C49">
        <v>0</v>
      </c>
      <c r="D49">
        <v>0</v>
      </c>
      <c r="E49">
        <v>0</v>
      </c>
      <c r="F49">
        <v>0</v>
      </c>
      <c r="H49">
        <v>0</v>
      </c>
    </row>
    <row r="50" spans="1:8" x14ac:dyDescent="0.2">
      <c r="A50" t="s">
        <v>240</v>
      </c>
      <c r="B50">
        <v>0</v>
      </c>
      <c r="C50">
        <v>0</v>
      </c>
      <c r="D50">
        <v>0</v>
      </c>
      <c r="E50">
        <v>0</v>
      </c>
      <c r="F50">
        <v>0</v>
      </c>
      <c r="H50">
        <v>0</v>
      </c>
    </row>
    <row r="51" spans="1:8" x14ac:dyDescent="0.2">
      <c r="A51" t="s">
        <v>241</v>
      </c>
      <c r="B51">
        <v>0</v>
      </c>
      <c r="C51">
        <v>0</v>
      </c>
      <c r="D51">
        <v>0</v>
      </c>
      <c r="E51">
        <v>0</v>
      </c>
      <c r="F51">
        <v>0</v>
      </c>
      <c r="H51">
        <v>0</v>
      </c>
    </row>
    <row r="52" spans="1:8" x14ac:dyDescent="0.2">
      <c r="A52" t="s">
        <v>242</v>
      </c>
      <c r="B52">
        <v>0</v>
      </c>
      <c r="C52">
        <v>0</v>
      </c>
      <c r="D52">
        <v>0</v>
      </c>
      <c r="E52">
        <v>0</v>
      </c>
      <c r="F52">
        <v>0</v>
      </c>
      <c r="H52">
        <v>0</v>
      </c>
    </row>
    <row r="53" spans="1:8" x14ac:dyDescent="0.2">
      <c r="A53" t="s">
        <v>243</v>
      </c>
      <c r="B53">
        <v>0</v>
      </c>
      <c r="C53">
        <v>0</v>
      </c>
      <c r="D53">
        <v>0</v>
      </c>
      <c r="E53">
        <v>0</v>
      </c>
      <c r="F53">
        <v>0</v>
      </c>
      <c r="H53">
        <v>0</v>
      </c>
    </row>
    <row r="54" spans="1:8" x14ac:dyDescent="0.2">
      <c r="A54" t="s">
        <v>244</v>
      </c>
      <c r="B54" s="11">
        <v>1</v>
      </c>
      <c r="C54" s="11">
        <v>1</v>
      </c>
      <c r="D54" s="11">
        <v>1</v>
      </c>
      <c r="E54" s="11">
        <v>1</v>
      </c>
      <c r="F54" s="11">
        <v>1</v>
      </c>
      <c r="H54" s="11">
        <v>1</v>
      </c>
    </row>
    <row r="55" spans="1:8" x14ac:dyDescent="0.2">
      <c r="A55" t="s">
        <v>245</v>
      </c>
      <c r="B55" s="11">
        <v>1</v>
      </c>
      <c r="C55" s="11">
        <v>1</v>
      </c>
      <c r="D55" s="11">
        <v>1</v>
      </c>
      <c r="E55" s="11">
        <v>1</v>
      </c>
      <c r="F55" s="11">
        <v>1</v>
      </c>
      <c r="H55" s="11">
        <v>1</v>
      </c>
    </row>
    <row r="56" spans="1:8" x14ac:dyDescent="0.2">
      <c r="A56" t="s">
        <v>246</v>
      </c>
      <c r="B56" s="11">
        <v>1</v>
      </c>
      <c r="C56" s="11">
        <v>1</v>
      </c>
      <c r="D56" s="11">
        <v>1</v>
      </c>
      <c r="E56" s="11">
        <v>1</v>
      </c>
      <c r="F56" s="11">
        <v>1</v>
      </c>
      <c r="H56" s="11">
        <v>1</v>
      </c>
    </row>
    <row r="57" spans="1:8" x14ac:dyDescent="0.2">
      <c r="A57" t="s">
        <v>247</v>
      </c>
      <c r="B57" s="11">
        <v>1</v>
      </c>
      <c r="C57" s="11">
        <v>1</v>
      </c>
      <c r="D57" s="11">
        <v>1</v>
      </c>
      <c r="E57" s="11">
        <v>1</v>
      </c>
      <c r="F57" s="11">
        <v>1</v>
      </c>
      <c r="H57" s="11">
        <v>1</v>
      </c>
    </row>
    <row r="58" spans="1:8" x14ac:dyDescent="0.2">
      <c r="A58" t="s">
        <v>248</v>
      </c>
      <c r="B58" s="11">
        <v>1</v>
      </c>
      <c r="C58" s="11">
        <v>1</v>
      </c>
      <c r="D58" s="11">
        <v>1</v>
      </c>
      <c r="E58" s="11">
        <v>1</v>
      </c>
      <c r="F58" s="11">
        <v>1</v>
      </c>
      <c r="H58" s="11">
        <v>1</v>
      </c>
    </row>
    <row r="59" spans="1:8" x14ac:dyDescent="0.2">
      <c r="A59" t="s">
        <v>249</v>
      </c>
      <c r="B59" s="11">
        <v>1</v>
      </c>
      <c r="C59" s="11">
        <v>1</v>
      </c>
      <c r="D59" s="11">
        <v>1</v>
      </c>
      <c r="E59" s="11">
        <v>1</v>
      </c>
      <c r="F59" s="11">
        <v>1</v>
      </c>
      <c r="H59" s="11">
        <v>1</v>
      </c>
    </row>
    <row r="60" spans="1:8" x14ac:dyDescent="0.2">
      <c r="A60" t="s">
        <v>250</v>
      </c>
      <c r="B60" s="11">
        <v>1</v>
      </c>
      <c r="C60" s="11">
        <v>1</v>
      </c>
      <c r="D60" s="11">
        <v>1</v>
      </c>
      <c r="E60" s="11">
        <v>1</v>
      </c>
      <c r="F60" s="11">
        <v>1</v>
      </c>
      <c r="H60" s="11">
        <v>1</v>
      </c>
    </row>
    <row r="61" spans="1:8" x14ac:dyDescent="0.2">
      <c r="A61" t="s">
        <v>267</v>
      </c>
      <c r="B61" s="11">
        <v>1</v>
      </c>
      <c r="C61" s="11">
        <v>1</v>
      </c>
      <c r="D61" s="11">
        <v>1</v>
      </c>
      <c r="E61" s="11">
        <v>1</v>
      </c>
      <c r="F61" s="11">
        <v>1</v>
      </c>
      <c r="H61" s="11">
        <v>1</v>
      </c>
    </row>
    <row r="62" spans="1:8" x14ac:dyDescent="0.2">
      <c r="A62" t="s">
        <v>268</v>
      </c>
      <c r="B62" s="11">
        <v>1</v>
      </c>
      <c r="C62" s="11">
        <v>1</v>
      </c>
      <c r="D62" s="11">
        <v>1</v>
      </c>
      <c r="E62" s="11">
        <v>1</v>
      </c>
      <c r="F62" s="11">
        <v>1</v>
      </c>
      <c r="H62" s="11">
        <v>1</v>
      </c>
    </row>
    <row r="63" spans="1:8" x14ac:dyDescent="0.2">
      <c r="A63" t="s">
        <v>269</v>
      </c>
      <c r="B63" s="11">
        <v>1</v>
      </c>
      <c r="C63" s="11">
        <v>1</v>
      </c>
      <c r="D63" s="11">
        <v>1</v>
      </c>
      <c r="E63" s="11">
        <v>1</v>
      </c>
      <c r="F63" s="11">
        <v>1</v>
      </c>
      <c r="H63" s="11">
        <v>1</v>
      </c>
    </row>
    <row r="64" spans="1:8" x14ac:dyDescent="0.2">
      <c r="A64" t="s">
        <v>270</v>
      </c>
      <c r="B64" s="11">
        <v>1</v>
      </c>
      <c r="C64" s="11">
        <v>1</v>
      </c>
      <c r="D64" s="11">
        <v>1</v>
      </c>
      <c r="E64" s="11">
        <v>1</v>
      </c>
      <c r="F64" s="11">
        <v>1</v>
      </c>
      <c r="H64" s="11">
        <v>1</v>
      </c>
    </row>
    <row r="65" spans="1:8" x14ac:dyDescent="0.2">
      <c r="A65" t="s">
        <v>271</v>
      </c>
      <c r="B65" s="11">
        <v>1</v>
      </c>
      <c r="C65" s="11">
        <v>1</v>
      </c>
      <c r="D65" s="11">
        <v>1</v>
      </c>
      <c r="E65" s="11">
        <v>1</v>
      </c>
      <c r="F65" s="11">
        <v>1</v>
      </c>
      <c r="H65" s="11">
        <v>1</v>
      </c>
    </row>
    <row r="66" spans="1:8" x14ac:dyDescent="0.2">
      <c r="A66" t="s">
        <v>272</v>
      </c>
      <c r="B66" s="11">
        <v>1</v>
      </c>
      <c r="C66" s="11">
        <v>1</v>
      </c>
      <c r="D66" s="11">
        <v>1</v>
      </c>
      <c r="E66" s="11">
        <v>1</v>
      </c>
      <c r="F66" s="11">
        <v>1</v>
      </c>
      <c r="H66" s="11">
        <v>1</v>
      </c>
    </row>
    <row r="67" spans="1:8" x14ac:dyDescent="0.2">
      <c r="A67" t="s">
        <v>273</v>
      </c>
      <c r="B67" s="11">
        <v>1</v>
      </c>
      <c r="C67" s="11">
        <v>1</v>
      </c>
      <c r="D67" s="11">
        <v>1</v>
      </c>
      <c r="E67" s="11">
        <v>1</v>
      </c>
      <c r="F67" s="11">
        <v>1</v>
      </c>
      <c r="H67" s="11">
        <v>1</v>
      </c>
    </row>
    <row r="68" spans="1:8" x14ac:dyDescent="0.2">
      <c r="A68" t="s">
        <v>274</v>
      </c>
      <c r="B68" s="11">
        <v>1</v>
      </c>
      <c r="C68" s="11">
        <v>1</v>
      </c>
      <c r="D68" s="11">
        <v>1</v>
      </c>
      <c r="E68" s="11">
        <v>1</v>
      </c>
      <c r="F68" s="11">
        <v>1</v>
      </c>
      <c r="H68" s="11">
        <v>1</v>
      </c>
    </row>
    <row r="69" spans="1:8" x14ac:dyDescent="0.2">
      <c r="A69" t="s">
        <v>468</v>
      </c>
      <c r="B69" s="11">
        <v>1</v>
      </c>
      <c r="C69" s="11">
        <v>1</v>
      </c>
      <c r="D69" s="11">
        <v>1</v>
      </c>
      <c r="E69" s="11">
        <v>1</v>
      </c>
      <c r="F69" s="11">
        <v>1</v>
      </c>
      <c r="H69" s="11">
        <v>1</v>
      </c>
    </row>
    <row r="70" spans="1:8" x14ac:dyDescent="0.2">
      <c r="A70" t="s">
        <v>467</v>
      </c>
      <c r="B70" s="11">
        <v>1</v>
      </c>
      <c r="C70" s="11">
        <v>1</v>
      </c>
      <c r="D70" s="11">
        <v>1</v>
      </c>
      <c r="E70" s="11">
        <v>1</v>
      </c>
      <c r="F70" s="11">
        <v>1</v>
      </c>
      <c r="H70" s="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9481-9B2A-3C44-92BB-BCB9505D8595}">
  <dimension ref="A1:N70"/>
  <sheetViews>
    <sheetView workbookViewId="0">
      <selection sqref="A1:D70"/>
    </sheetView>
  </sheetViews>
  <sheetFormatPr baseColWidth="10" defaultRowHeight="16" x14ac:dyDescent="0.2"/>
  <cols>
    <col min="1" max="2" width="33" bestFit="1" customWidth="1"/>
    <col min="3" max="3" width="14.33203125" bestFit="1" customWidth="1"/>
    <col min="4" max="4" width="12.5" bestFit="1" customWidth="1"/>
    <col min="6" max="6" width="14.33203125" bestFit="1" customWidth="1"/>
    <col min="8" max="8" width="31.83203125" bestFit="1" customWidth="1"/>
    <col min="9" max="9" width="33" bestFit="1" customWidth="1"/>
    <col min="10" max="10" width="5.1640625" bestFit="1" customWidth="1"/>
    <col min="11" max="11" width="4.33203125" bestFit="1" customWidth="1"/>
    <col min="12" max="12" width="8.1640625" bestFit="1" customWidth="1"/>
    <col min="13" max="13" width="4.83203125" bestFit="1" customWidth="1"/>
    <col min="14" max="14" width="4" bestFit="1" customWidth="1"/>
  </cols>
  <sheetData>
    <row r="1" spans="1:14" x14ac:dyDescent="0.2">
      <c r="A1" t="s">
        <v>453</v>
      </c>
      <c r="B1" t="s">
        <v>85</v>
      </c>
      <c r="C1" t="s">
        <v>86</v>
      </c>
      <c r="D1" t="s">
        <v>429</v>
      </c>
      <c r="F1" s="3" t="s">
        <v>89</v>
      </c>
      <c r="G1" s="3" t="s">
        <v>88</v>
      </c>
      <c r="H1" s="3"/>
      <c r="I1" s="3" t="s">
        <v>85</v>
      </c>
      <c r="J1" s="3" t="s">
        <v>477</v>
      </c>
      <c r="K1" s="3" t="s">
        <v>478</v>
      </c>
      <c r="L1" s="3" t="s">
        <v>429</v>
      </c>
      <c r="M1" s="3" t="s">
        <v>480</v>
      </c>
      <c r="N1" s="3" t="s">
        <v>479</v>
      </c>
    </row>
    <row r="2" spans="1:14" x14ac:dyDescent="0.2">
      <c r="A2" t="s">
        <v>77</v>
      </c>
      <c r="B2" t="s">
        <v>33</v>
      </c>
      <c r="C2" t="s">
        <v>52</v>
      </c>
      <c r="D2" s="3" t="str">
        <f>VLOOKUP(C2,$F$2:$G$20,2)</f>
        <v>#0f4426</v>
      </c>
      <c r="F2" s="3" t="s">
        <v>418</v>
      </c>
      <c r="G2" s="3" t="s">
        <v>463</v>
      </c>
      <c r="H2" s="3"/>
      <c r="I2" t="s">
        <v>33</v>
      </c>
      <c r="J2">
        <v>2</v>
      </c>
      <c r="K2">
        <v>2</v>
      </c>
      <c r="L2" t="str">
        <f>D2</f>
        <v>#0f4426</v>
      </c>
      <c r="M2">
        <v>1</v>
      </c>
      <c r="N2">
        <v>1</v>
      </c>
    </row>
    <row r="3" spans="1:14" x14ac:dyDescent="0.2">
      <c r="A3" t="s">
        <v>78</v>
      </c>
      <c r="B3" t="s">
        <v>34</v>
      </c>
      <c r="C3" t="s">
        <v>54</v>
      </c>
      <c r="D3" s="3" t="str">
        <f t="shared" ref="D2:D33" si="0">VLOOKUP(C3,$F$2:$G$20,2)</f>
        <v>#c2f2ef</v>
      </c>
      <c r="F3" s="3" t="s">
        <v>428</v>
      </c>
      <c r="G3" s="3" t="s">
        <v>462</v>
      </c>
      <c r="I3" t="s">
        <v>34</v>
      </c>
      <c r="J3">
        <v>2</v>
      </c>
      <c r="K3">
        <v>2</v>
      </c>
      <c r="L3" t="str">
        <f t="shared" ref="L3:L66" si="1">D3</f>
        <v>#c2f2ef</v>
      </c>
      <c r="M3">
        <v>1</v>
      </c>
      <c r="N3">
        <v>1</v>
      </c>
    </row>
    <row r="4" spans="1:14" x14ac:dyDescent="0.2">
      <c r="A4" t="s">
        <v>79</v>
      </c>
      <c r="B4" t="s">
        <v>35</v>
      </c>
      <c r="C4" t="s">
        <v>53</v>
      </c>
      <c r="D4" s="3" t="str">
        <f t="shared" si="0"/>
        <v>#1e8449</v>
      </c>
      <c r="F4" s="3" t="s">
        <v>427</v>
      </c>
      <c r="G4" s="22" t="s">
        <v>459</v>
      </c>
      <c r="I4" t="s">
        <v>35</v>
      </c>
      <c r="J4">
        <v>2</v>
      </c>
      <c r="K4">
        <v>2</v>
      </c>
      <c r="L4" t="str">
        <f t="shared" si="1"/>
        <v>#1e8449</v>
      </c>
      <c r="M4">
        <v>1</v>
      </c>
      <c r="N4">
        <v>1</v>
      </c>
    </row>
    <row r="5" spans="1:14" x14ac:dyDescent="0.2">
      <c r="A5" t="s">
        <v>78</v>
      </c>
      <c r="B5" t="s">
        <v>36</v>
      </c>
      <c r="C5" t="s">
        <v>54</v>
      </c>
      <c r="D5" s="3" t="str">
        <f t="shared" si="0"/>
        <v>#c2f2ef</v>
      </c>
      <c r="F5" s="3" t="s">
        <v>52</v>
      </c>
      <c r="G5" s="22" t="s">
        <v>454</v>
      </c>
      <c r="I5" t="s">
        <v>36</v>
      </c>
      <c r="J5">
        <v>2</v>
      </c>
      <c r="K5">
        <v>2</v>
      </c>
      <c r="L5" t="str">
        <f t="shared" si="1"/>
        <v>#c2f2ef</v>
      </c>
      <c r="M5">
        <v>1</v>
      </c>
      <c r="N5">
        <v>1</v>
      </c>
    </row>
    <row r="6" spans="1:14" x14ac:dyDescent="0.2">
      <c r="A6" t="s">
        <v>80</v>
      </c>
      <c r="B6" t="s">
        <v>37</v>
      </c>
      <c r="C6" t="s">
        <v>54</v>
      </c>
      <c r="D6" s="3" t="str">
        <f t="shared" si="0"/>
        <v>#c2f2ef</v>
      </c>
      <c r="F6" s="3" t="s">
        <v>421</v>
      </c>
      <c r="G6" s="3" t="s">
        <v>473</v>
      </c>
      <c r="I6" t="s">
        <v>37</v>
      </c>
      <c r="J6">
        <v>2</v>
      </c>
      <c r="K6">
        <v>2</v>
      </c>
      <c r="L6" t="str">
        <f t="shared" si="1"/>
        <v>#c2f2ef</v>
      </c>
      <c r="M6">
        <v>1</v>
      </c>
      <c r="N6">
        <v>1</v>
      </c>
    </row>
    <row r="7" spans="1:14" x14ac:dyDescent="0.2">
      <c r="A7" t="s">
        <v>81</v>
      </c>
      <c r="B7" t="s">
        <v>38</v>
      </c>
      <c r="C7" t="s">
        <v>54</v>
      </c>
      <c r="D7" s="3" t="str">
        <f t="shared" si="0"/>
        <v>#c2f2ef</v>
      </c>
      <c r="F7" s="3" t="s">
        <v>417</v>
      </c>
      <c r="G7" s="3" t="s">
        <v>474</v>
      </c>
      <c r="I7" t="s">
        <v>38</v>
      </c>
      <c r="J7">
        <v>2</v>
      </c>
      <c r="K7">
        <v>2</v>
      </c>
      <c r="L7" t="str">
        <f t="shared" si="1"/>
        <v>#c2f2ef</v>
      </c>
      <c r="M7">
        <v>1</v>
      </c>
      <c r="N7">
        <v>1</v>
      </c>
    </row>
    <row r="8" spans="1:14" ht="17" x14ac:dyDescent="0.2">
      <c r="A8" t="s">
        <v>81</v>
      </c>
      <c r="B8" t="s">
        <v>39</v>
      </c>
      <c r="C8" t="s">
        <v>54</v>
      </c>
      <c r="D8" s="3" t="str">
        <f t="shared" si="0"/>
        <v>#c2f2ef</v>
      </c>
      <c r="F8" s="3" t="s">
        <v>422</v>
      </c>
      <c r="G8" s="3" t="s">
        <v>460</v>
      </c>
      <c r="H8" s="21"/>
      <c r="I8" t="s">
        <v>39</v>
      </c>
      <c r="J8">
        <v>2</v>
      </c>
      <c r="K8">
        <v>2</v>
      </c>
      <c r="L8" t="str">
        <f t="shared" si="1"/>
        <v>#c2f2ef</v>
      </c>
      <c r="M8">
        <v>1</v>
      </c>
      <c r="N8">
        <v>1</v>
      </c>
    </row>
    <row r="9" spans="1:14" x14ac:dyDescent="0.2">
      <c r="A9" t="s">
        <v>81</v>
      </c>
      <c r="B9" t="s">
        <v>40</v>
      </c>
      <c r="C9" t="s">
        <v>54</v>
      </c>
      <c r="D9" s="3" t="str">
        <f t="shared" si="0"/>
        <v>#c2f2ef</v>
      </c>
      <c r="F9" s="3" t="s">
        <v>54</v>
      </c>
      <c r="G9" s="3" t="s">
        <v>472</v>
      </c>
      <c r="I9" t="s">
        <v>40</v>
      </c>
      <c r="J9">
        <v>2</v>
      </c>
      <c r="K9">
        <v>2</v>
      </c>
      <c r="L9" t="str">
        <f t="shared" si="1"/>
        <v>#c2f2ef</v>
      </c>
      <c r="M9">
        <v>1</v>
      </c>
      <c r="N9">
        <v>1</v>
      </c>
    </row>
    <row r="10" spans="1:14" x14ac:dyDescent="0.2">
      <c r="A10" t="s">
        <v>82</v>
      </c>
      <c r="B10" t="s">
        <v>41</v>
      </c>
      <c r="C10" t="s">
        <v>54</v>
      </c>
      <c r="D10" s="3" t="str">
        <f t="shared" si="0"/>
        <v>#c2f2ef</v>
      </c>
      <c r="F10" s="3" t="s">
        <v>420</v>
      </c>
      <c r="G10" s="3" t="s">
        <v>475</v>
      </c>
      <c r="I10" t="s">
        <v>41</v>
      </c>
      <c r="J10">
        <v>2</v>
      </c>
      <c r="K10">
        <v>2</v>
      </c>
      <c r="L10" t="str">
        <f t="shared" si="1"/>
        <v>#c2f2ef</v>
      </c>
      <c r="M10">
        <v>1</v>
      </c>
      <c r="N10">
        <v>1</v>
      </c>
    </row>
    <row r="11" spans="1:14" x14ac:dyDescent="0.2">
      <c r="A11" t="s">
        <v>78</v>
      </c>
      <c r="B11" t="s">
        <v>42</v>
      </c>
      <c r="C11" t="s">
        <v>54</v>
      </c>
      <c r="D11" s="3" t="str">
        <f t="shared" si="0"/>
        <v>#c2f2ef</v>
      </c>
      <c r="F11" s="3" t="s">
        <v>56</v>
      </c>
      <c r="G11" s="3" t="s">
        <v>457</v>
      </c>
      <c r="I11" t="s">
        <v>42</v>
      </c>
      <c r="J11">
        <v>2</v>
      </c>
      <c r="K11">
        <v>2</v>
      </c>
      <c r="L11" t="str">
        <f t="shared" si="1"/>
        <v>#c2f2ef</v>
      </c>
      <c r="M11">
        <v>1</v>
      </c>
      <c r="N11">
        <v>1</v>
      </c>
    </row>
    <row r="12" spans="1:14" x14ac:dyDescent="0.2">
      <c r="A12" t="s">
        <v>78</v>
      </c>
      <c r="B12" t="s">
        <v>43</v>
      </c>
      <c r="C12" t="s">
        <v>54</v>
      </c>
      <c r="D12" s="3" t="str">
        <f t="shared" si="0"/>
        <v>#c2f2ef</v>
      </c>
      <c r="F12" s="3" t="s">
        <v>426</v>
      </c>
      <c r="G12" s="3" t="s">
        <v>458</v>
      </c>
      <c r="I12" t="s">
        <v>43</v>
      </c>
      <c r="J12">
        <v>2</v>
      </c>
      <c r="K12">
        <v>2</v>
      </c>
      <c r="L12" t="str">
        <f t="shared" si="1"/>
        <v>#c2f2ef</v>
      </c>
      <c r="M12">
        <v>1</v>
      </c>
      <c r="N12">
        <v>1</v>
      </c>
    </row>
    <row r="13" spans="1:14" x14ac:dyDescent="0.2">
      <c r="A13" t="s">
        <v>78</v>
      </c>
      <c r="B13" t="s">
        <v>44</v>
      </c>
      <c r="C13" t="s">
        <v>54</v>
      </c>
      <c r="D13" s="3" t="str">
        <f t="shared" si="0"/>
        <v>#c2f2ef</v>
      </c>
      <c r="F13" s="3" t="s">
        <v>424</v>
      </c>
      <c r="G13" s="3" t="s">
        <v>464</v>
      </c>
      <c r="I13" t="s">
        <v>44</v>
      </c>
      <c r="J13">
        <v>2</v>
      </c>
      <c r="K13">
        <v>2</v>
      </c>
      <c r="L13" t="str">
        <f t="shared" si="1"/>
        <v>#c2f2ef</v>
      </c>
      <c r="M13">
        <v>1</v>
      </c>
      <c r="N13">
        <v>1</v>
      </c>
    </row>
    <row r="14" spans="1:14" x14ac:dyDescent="0.2">
      <c r="A14" t="s">
        <v>78</v>
      </c>
      <c r="B14" t="s">
        <v>45</v>
      </c>
      <c r="C14" t="s">
        <v>54</v>
      </c>
      <c r="D14" s="3" t="str">
        <f t="shared" si="0"/>
        <v>#c2f2ef</v>
      </c>
      <c r="F14" s="3" t="s">
        <v>87</v>
      </c>
      <c r="G14" s="3" t="s">
        <v>471</v>
      </c>
      <c r="I14" t="s">
        <v>45</v>
      </c>
      <c r="J14">
        <v>2</v>
      </c>
      <c r="K14">
        <v>2</v>
      </c>
      <c r="L14" t="str">
        <f t="shared" si="1"/>
        <v>#c2f2ef</v>
      </c>
      <c r="M14">
        <v>1</v>
      </c>
      <c r="N14">
        <v>1</v>
      </c>
    </row>
    <row r="15" spans="1:14" x14ac:dyDescent="0.2">
      <c r="A15" t="s">
        <v>83</v>
      </c>
      <c r="B15" t="s">
        <v>63</v>
      </c>
      <c r="C15" t="s">
        <v>87</v>
      </c>
      <c r="D15" s="3" t="str">
        <f t="shared" si="0"/>
        <v>#c5f2c2</v>
      </c>
      <c r="F15" s="3" t="s">
        <v>423</v>
      </c>
      <c r="G15" s="3" t="s">
        <v>465</v>
      </c>
      <c r="I15" t="s">
        <v>63</v>
      </c>
      <c r="J15">
        <v>2</v>
      </c>
      <c r="K15">
        <v>2</v>
      </c>
      <c r="L15" t="str">
        <f t="shared" si="1"/>
        <v>#c5f2c2</v>
      </c>
      <c r="M15">
        <v>1</v>
      </c>
      <c r="N15">
        <v>1</v>
      </c>
    </row>
    <row r="16" spans="1:14" x14ac:dyDescent="0.2">
      <c r="A16" t="s">
        <v>84</v>
      </c>
      <c r="B16" t="s">
        <v>64</v>
      </c>
      <c r="C16" t="s">
        <v>87</v>
      </c>
      <c r="D16" s="3" t="str">
        <f t="shared" si="0"/>
        <v>#c5f2c2</v>
      </c>
      <c r="F16" s="3" t="s">
        <v>55</v>
      </c>
      <c r="G16" s="23" t="s">
        <v>466</v>
      </c>
      <c r="I16" t="s">
        <v>64</v>
      </c>
      <c r="J16">
        <v>2</v>
      </c>
      <c r="K16">
        <v>2</v>
      </c>
      <c r="L16" t="str">
        <f t="shared" si="1"/>
        <v>#c5f2c2</v>
      </c>
      <c r="M16">
        <v>1</v>
      </c>
      <c r="N16">
        <v>1</v>
      </c>
    </row>
    <row r="17" spans="1:14" x14ac:dyDescent="0.2">
      <c r="A17" t="s">
        <v>83</v>
      </c>
      <c r="B17" t="s">
        <v>65</v>
      </c>
      <c r="C17" t="s">
        <v>87</v>
      </c>
      <c r="D17" s="3" t="str">
        <f t="shared" si="0"/>
        <v>#c5f2c2</v>
      </c>
      <c r="F17" s="3" t="s">
        <v>416</v>
      </c>
      <c r="G17" s="3" t="s">
        <v>476</v>
      </c>
      <c r="I17" t="s">
        <v>65</v>
      </c>
      <c r="J17">
        <v>2</v>
      </c>
      <c r="K17">
        <v>2</v>
      </c>
      <c r="L17" t="str">
        <f t="shared" si="1"/>
        <v>#c5f2c2</v>
      </c>
      <c r="M17">
        <v>1</v>
      </c>
      <c r="N17">
        <v>1</v>
      </c>
    </row>
    <row r="18" spans="1:14" x14ac:dyDescent="0.2">
      <c r="A18" t="s">
        <v>431</v>
      </c>
      <c r="B18" t="s">
        <v>138</v>
      </c>
      <c r="C18" t="s">
        <v>416</v>
      </c>
      <c r="D18" s="3" t="str">
        <f t="shared" si="0"/>
        <v>#ffff4e</v>
      </c>
      <c r="F18" s="3" t="s">
        <v>425</v>
      </c>
      <c r="G18" s="3" t="s">
        <v>456</v>
      </c>
      <c r="I18" t="s">
        <v>138</v>
      </c>
      <c r="J18">
        <v>2</v>
      </c>
      <c r="K18">
        <v>2</v>
      </c>
      <c r="L18" t="str">
        <f t="shared" si="1"/>
        <v>#ffff4e</v>
      </c>
      <c r="M18">
        <v>1</v>
      </c>
      <c r="N18">
        <v>1</v>
      </c>
    </row>
    <row r="19" spans="1:14" x14ac:dyDescent="0.2">
      <c r="A19" t="s">
        <v>432</v>
      </c>
      <c r="B19" t="s">
        <v>139</v>
      </c>
      <c r="C19" t="s">
        <v>417</v>
      </c>
      <c r="D19" s="3" t="str">
        <f t="shared" si="0"/>
        <v>#e3cec5</v>
      </c>
      <c r="F19" s="3" t="s">
        <v>419</v>
      </c>
      <c r="G19" s="3" t="s">
        <v>461</v>
      </c>
      <c r="I19" t="s">
        <v>139</v>
      </c>
      <c r="J19">
        <v>2</v>
      </c>
      <c r="K19">
        <v>2</v>
      </c>
      <c r="L19" t="str">
        <f t="shared" si="1"/>
        <v>#e3cec5</v>
      </c>
      <c r="M19">
        <v>1</v>
      </c>
      <c r="N19">
        <v>1</v>
      </c>
    </row>
    <row r="20" spans="1:14" x14ac:dyDescent="0.2">
      <c r="A20" t="s">
        <v>433</v>
      </c>
      <c r="B20" t="s">
        <v>140</v>
      </c>
      <c r="C20" t="s">
        <v>418</v>
      </c>
      <c r="D20" s="3" t="str">
        <f t="shared" si="0"/>
        <v>#f9b599</v>
      </c>
      <c r="F20" s="3" t="s">
        <v>53</v>
      </c>
      <c r="G20" s="23" t="s">
        <v>455</v>
      </c>
      <c r="I20" t="s">
        <v>140</v>
      </c>
      <c r="J20">
        <v>2</v>
      </c>
      <c r="K20">
        <v>2</v>
      </c>
      <c r="L20" t="str">
        <f t="shared" si="1"/>
        <v>#f9b599</v>
      </c>
      <c r="M20">
        <v>1</v>
      </c>
      <c r="N20">
        <v>1</v>
      </c>
    </row>
    <row r="21" spans="1:14" x14ac:dyDescent="0.2">
      <c r="A21" t="s">
        <v>434</v>
      </c>
      <c r="B21" t="s">
        <v>141</v>
      </c>
      <c r="C21" t="s">
        <v>417</v>
      </c>
      <c r="D21" s="3" t="str">
        <f t="shared" si="0"/>
        <v>#e3cec5</v>
      </c>
      <c r="I21" t="s">
        <v>141</v>
      </c>
      <c r="J21">
        <v>2</v>
      </c>
      <c r="K21">
        <v>2</v>
      </c>
      <c r="L21" t="str">
        <f t="shared" si="1"/>
        <v>#e3cec5</v>
      </c>
      <c r="M21">
        <v>1</v>
      </c>
      <c r="N21">
        <v>1</v>
      </c>
    </row>
    <row r="22" spans="1:14" x14ac:dyDescent="0.2">
      <c r="A22" t="s">
        <v>435</v>
      </c>
      <c r="B22" t="s">
        <v>142</v>
      </c>
      <c r="C22" t="s">
        <v>417</v>
      </c>
      <c r="D22" s="3" t="str">
        <f t="shared" si="0"/>
        <v>#e3cec5</v>
      </c>
      <c r="I22" t="s">
        <v>142</v>
      </c>
      <c r="J22">
        <v>2</v>
      </c>
      <c r="K22">
        <v>2</v>
      </c>
      <c r="L22" t="str">
        <f t="shared" si="1"/>
        <v>#e3cec5</v>
      </c>
      <c r="M22">
        <v>1</v>
      </c>
      <c r="N22">
        <v>1</v>
      </c>
    </row>
    <row r="23" spans="1:14" x14ac:dyDescent="0.2">
      <c r="A23" t="s">
        <v>436</v>
      </c>
      <c r="B23" t="s">
        <v>143</v>
      </c>
      <c r="C23" t="s">
        <v>416</v>
      </c>
      <c r="D23" s="3" t="str">
        <f t="shared" si="0"/>
        <v>#ffff4e</v>
      </c>
      <c r="I23" t="s">
        <v>143</v>
      </c>
      <c r="J23">
        <v>2</v>
      </c>
      <c r="K23">
        <v>2</v>
      </c>
      <c r="L23" t="str">
        <f t="shared" si="1"/>
        <v>#ffff4e</v>
      </c>
      <c r="M23">
        <v>1</v>
      </c>
      <c r="N23">
        <v>1</v>
      </c>
    </row>
    <row r="24" spans="1:14" x14ac:dyDescent="0.2">
      <c r="A24" t="s">
        <v>437</v>
      </c>
      <c r="B24" t="s">
        <v>144</v>
      </c>
      <c r="C24" t="s">
        <v>417</v>
      </c>
      <c r="D24" s="3" t="str">
        <f t="shared" si="0"/>
        <v>#e3cec5</v>
      </c>
      <c r="I24" t="s">
        <v>144</v>
      </c>
      <c r="J24">
        <v>2</v>
      </c>
      <c r="K24">
        <v>2</v>
      </c>
      <c r="L24" t="str">
        <f t="shared" si="1"/>
        <v>#e3cec5</v>
      </c>
      <c r="M24">
        <v>1</v>
      </c>
      <c r="N24">
        <v>1</v>
      </c>
    </row>
    <row r="25" spans="1:14" x14ac:dyDescent="0.2">
      <c r="A25" t="s">
        <v>438</v>
      </c>
      <c r="B25" t="s">
        <v>145</v>
      </c>
      <c r="C25" t="s">
        <v>418</v>
      </c>
      <c r="D25" s="3" t="str">
        <f t="shared" si="0"/>
        <v>#f9b599</v>
      </c>
      <c r="I25" t="s">
        <v>145</v>
      </c>
      <c r="J25">
        <v>2</v>
      </c>
      <c r="K25">
        <v>2</v>
      </c>
      <c r="L25" t="str">
        <f t="shared" si="1"/>
        <v>#f9b599</v>
      </c>
      <c r="M25">
        <v>1</v>
      </c>
      <c r="N25">
        <v>1</v>
      </c>
    </row>
    <row r="26" spans="1:14" x14ac:dyDescent="0.2">
      <c r="A26" t="s">
        <v>434</v>
      </c>
      <c r="B26" t="s">
        <v>146</v>
      </c>
      <c r="C26" t="s">
        <v>417</v>
      </c>
      <c r="D26" s="3" t="str">
        <f t="shared" si="0"/>
        <v>#e3cec5</v>
      </c>
      <c r="I26" t="s">
        <v>146</v>
      </c>
      <c r="J26">
        <v>2</v>
      </c>
      <c r="K26">
        <v>2</v>
      </c>
      <c r="L26" t="str">
        <f t="shared" si="1"/>
        <v>#e3cec5</v>
      </c>
      <c r="M26">
        <v>1</v>
      </c>
      <c r="N26">
        <v>1</v>
      </c>
    </row>
    <row r="27" spans="1:14" x14ac:dyDescent="0.2">
      <c r="A27" t="s">
        <v>363</v>
      </c>
      <c r="B27" t="s">
        <v>147</v>
      </c>
      <c r="C27" t="s">
        <v>419</v>
      </c>
      <c r="D27" s="3" t="str">
        <f t="shared" si="0"/>
        <v>#d47a0d</v>
      </c>
      <c r="I27" t="s">
        <v>147</v>
      </c>
      <c r="J27">
        <v>2</v>
      </c>
      <c r="K27">
        <v>2</v>
      </c>
      <c r="L27" t="str">
        <f t="shared" si="1"/>
        <v>#d47a0d</v>
      </c>
      <c r="M27">
        <v>1</v>
      </c>
      <c r="N27">
        <v>1</v>
      </c>
    </row>
    <row r="28" spans="1:14" x14ac:dyDescent="0.2">
      <c r="A28" t="s">
        <v>363</v>
      </c>
      <c r="B28" t="s">
        <v>148</v>
      </c>
      <c r="C28" t="s">
        <v>419</v>
      </c>
      <c r="D28" s="3" t="str">
        <f t="shared" si="0"/>
        <v>#d47a0d</v>
      </c>
      <c r="I28" t="s">
        <v>148</v>
      </c>
      <c r="J28">
        <v>2</v>
      </c>
      <c r="K28">
        <v>2</v>
      </c>
      <c r="L28" t="str">
        <f t="shared" si="1"/>
        <v>#d47a0d</v>
      </c>
      <c r="M28">
        <v>1</v>
      </c>
      <c r="N28">
        <v>1</v>
      </c>
    </row>
    <row r="29" spans="1:14" x14ac:dyDescent="0.2">
      <c r="A29" t="s">
        <v>439</v>
      </c>
      <c r="B29" t="s">
        <v>149</v>
      </c>
      <c r="C29" t="s">
        <v>417</v>
      </c>
      <c r="D29" s="3" t="str">
        <f t="shared" si="0"/>
        <v>#e3cec5</v>
      </c>
      <c r="I29" t="s">
        <v>149</v>
      </c>
      <c r="J29">
        <v>2</v>
      </c>
      <c r="K29">
        <v>2</v>
      </c>
      <c r="L29" t="str">
        <f t="shared" si="1"/>
        <v>#e3cec5</v>
      </c>
      <c r="M29">
        <v>1</v>
      </c>
      <c r="N29">
        <v>1</v>
      </c>
    </row>
    <row r="30" spans="1:14" x14ac:dyDescent="0.2">
      <c r="A30" t="s">
        <v>434</v>
      </c>
      <c r="B30" t="s">
        <v>150</v>
      </c>
      <c r="C30" t="s">
        <v>417</v>
      </c>
      <c r="D30" s="3" t="str">
        <f t="shared" si="0"/>
        <v>#e3cec5</v>
      </c>
      <c r="I30" t="s">
        <v>150</v>
      </c>
      <c r="J30">
        <v>2</v>
      </c>
      <c r="K30">
        <v>2</v>
      </c>
      <c r="L30" t="str">
        <f t="shared" si="1"/>
        <v>#e3cec5</v>
      </c>
      <c r="M30">
        <v>1</v>
      </c>
      <c r="N30">
        <v>1</v>
      </c>
    </row>
    <row r="31" spans="1:14" x14ac:dyDescent="0.2">
      <c r="A31" t="s">
        <v>440</v>
      </c>
      <c r="B31" t="s">
        <v>151</v>
      </c>
      <c r="C31" t="s">
        <v>420</v>
      </c>
      <c r="D31" s="3" t="str">
        <f t="shared" si="0"/>
        <v>#d5c584</v>
      </c>
      <c r="I31" t="s">
        <v>151</v>
      </c>
      <c r="J31">
        <v>2</v>
      </c>
      <c r="K31">
        <v>2</v>
      </c>
      <c r="L31" t="str">
        <f t="shared" si="1"/>
        <v>#d5c584</v>
      </c>
      <c r="M31">
        <v>1</v>
      </c>
      <c r="N31">
        <v>1</v>
      </c>
    </row>
    <row r="32" spans="1:14" x14ac:dyDescent="0.2">
      <c r="A32" t="s">
        <v>434</v>
      </c>
      <c r="B32" t="s">
        <v>152</v>
      </c>
      <c r="C32" t="s">
        <v>417</v>
      </c>
      <c r="D32" s="3" t="str">
        <f t="shared" si="0"/>
        <v>#e3cec5</v>
      </c>
      <c r="I32" t="s">
        <v>152</v>
      </c>
      <c r="J32">
        <v>2</v>
      </c>
      <c r="K32">
        <v>2</v>
      </c>
      <c r="L32" t="str">
        <f t="shared" si="1"/>
        <v>#e3cec5</v>
      </c>
      <c r="M32">
        <v>1</v>
      </c>
      <c r="N32">
        <v>1</v>
      </c>
    </row>
    <row r="33" spans="1:14" x14ac:dyDescent="0.2">
      <c r="A33" t="s">
        <v>441</v>
      </c>
      <c r="B33" t="s">
        <v>153</v>
      </c>
      <c r="C33" t="s">
        <v>421</v>
      </c>
      <c r="D33" s="3" t="str">
        <f t="shared" si="0"/>
        <v>#faaebd</v>
      </c>
      <c r="I33" t="s">
        <v>153</v>
      </c>
      <c r="J33">
        <v>2</v>
      </c>
      <c r="K33">
        <v>2</v>
      </c>
      <c r="L33" t="str">
        <f t="shared" si="1"/>
        <v>#faaebd</v>
      </c>
      <c r="M33">
        <v>1</v>
      </c>
      <c r="N33">
        <v>1</v>
      </c>
    </row>
    <row r="34" spans="1:14" x14ac:dyDescent="0.2">
      <c r="A34" t="s">
        <v>442</v>
      </c>
      <c r="B34" t="s">
        <v>154</v>
      </c>
      <c r="C34" t="s">
        <v>417</v>
      </c>
      <c r="D34" s="3" t="str">
        <f t="shared" ref="D34:D65" si="2">VLOOKUP(C34,$F$2:$G$20,2)</f>
        <v>#e3cec5</v>
      </c>
      <c r="I34" t="s">
        <v>154</v>
      </c>
      <c r="J34">
        <v>2</v>
      </c>
      <c r="K34">
        <v>2</v>
      </c>
      <c r="L34" t="str">
        <f t="shared" si="1"/>
        <v>#e3cec5</v>
      </c>
      <c r="M34">
        <v>1</v>
      </c>
      <c r="N34">
        <v>1</v>
      </c>
    </row>
    <row r="35" spans="1:14" x14ac:dyDescent="0.2">
      <c r="A35" t="s">
        <v>434</v>
      </c>
      <c r="B35" t="s">
        <v>155</v>
      </c>
      <c r="C35" t="s">
        <v>417</v>
      </c>
      <c r="D35" s="3" t="str">
        <f t="shared" si="2"/>
        <v>#e3cec5</v>
      </c>
      <c r="I35" t="s">
        <v>155</v>
      </c>
      <c r="J35">
        <v>2</v>
      </c>
      <c r="K35">
        <v>2</v>
      </c>
      <c r="L35" t="str">
        <f t="shared" si="1"/>
        <v>#e3cec5</v>
      </c>
      <c r="M35">
        <v>1</v>
      </c>
      <c r="N35">
        <v>1</v>
      </c>
    </row>
    <row r="36" spans="1:14" x14ac:dyDescent="0.2">
      <c r="A36" t="s">
        <v>443</v>
      </c>
      <c r="B36" t="s">
        <v>156</v>
      </c>
      <c r="C36" t="s">
        <v>418</v>
      </c>
      <c r="D36" s="3" t="str">
        <f t="shared" si="2"/>
        <v>#f9b599</v>
      </c>
      <c r="I36" t="s">
        <v>156</v>
      </c>
      <c r="J36">
        <v>2</v>
      </c>
      <c r="K36">
        <v>2</v>
      </c>
      <c r="L36" t="str">
        <f t="shared" si="1"/>
        <v>#f9b599</v>
      </c>
      <c r="M36">
        <v>1</v>
      </c>
      <c r="N36">
        <v>1</v>
      </c>
    </row>
    <row r="37" spans="1:14" x14ac:dyDescent="0.2">
      <c r="A37" t="s">
        <v>444</v>
      </c>
      <c r="B37" t="s">
        <v>157</v>
      </c>
      <c r="C37" t="s">
        <v>418</v>
      </c>
      <c r="D37" s="3" t="str">
        <f t="shared" si="2"/>
        <v>#f9b599</v>
      </c>
      <c r="I37" t="s">
        <v>157</v>
      </c>
      <c r="J37">
        <v>2</v>
      </c>
      <c r="K37">
        <v>2</v>
      </c>
      <c r="L37" t="str">
        <f t="shared" si="1"/>
        <v>#f9b599</v>
      </c>
      <c r="M37">
        <v>1</v>
      </c>
      <c r="N37">
        <v>1</v>
      </c>
    </row>
    <row r="38" spans="1:14" x14ac:dyDescent="0.2">
      <c r="A38" t="s">
        <v>380</v>
      </c>
      <c r="B38" t="s">
        <v>172</v>
      </c>
      <c r="C38" t="s">
        <v>422</v>
      </c>
      <c r="D38" s="3" t="str">
        <f t="shared" si="2"/>
        <v>#784507</v>
      </c>
      <c r="I38" t="s">
        <v>172</v>
      </c>
      <c r="J38">
        <v>2</v>
      </c>
      <c r="K38">
        <v>2</v>
      </c>
      <c r="L38" t="str">
        <f t="shared" si="1"/>
        <v>#784507</v>
      </c>
      <c r="M38">
        <v>1</v>
      </c>
      <c r="N38">
        <v>1</v>
      </c>
    </row>
    <row r="39" spans="1:14" x14ac:dyDescent="0.2">
      <c r="A39" t="s">
        <v>368</v>
      </c>
      <c r="B39" t="s">
        <v>173</v>
      </c>
      <c r="C39" t="s">
        <v>423</v>
      </c>
      <c r="D39" s="3" t="str">
        <f t="shared" si="2"/>
        <v>#c2150b</v>
      </c>
      <c r="I39" t="s">
        <v>173</v>
      </c>
      <c r="J39">
        <v>2</v>
      </c>
      <c r="K39">
        <v>2</v>
      </c>
      <c r="L39" t="str">
        <f t="shared" si="1"/>
        <v>#c2150b</v>
      </c>
      <c r="M39">
        <v>1</v>
      </c>
      <c r="N39">
        <v>1</v>
      </c>
    </row>
    <row r="40" spans="1:14" x14ac:dyDescent="0.2">
      <c r="A40" t="s">
        <v>390</v>
      </c>
      <c r="B40" t="s">
        <v>174</v>
      </c>
      <c r="C40" t="s">
        <v>424</v>
      </c>
      <c r="D40" s="3" t="str">
        <f t="shared" si="2"/>
        <v>#780d07</v>
      </c>
      <c r="I40" t="s">
        <v>174</v>
      </c>
      <c r="J40">
        <v>2</v>
      </c>
      <c r="K40">
        <v>2</v>
      </c>
      <c r="L40" t="str">
        <f t="shared" si="1"/>
        <v>#780d07</v>
      </c>
      <c r="M40">
        <v>1</v>
      </c>
      <c r="N40">
        <v>1</v>
      </c>
    </row>
    <row r="41" spans="1:14" x14ac:dyDescent="0.2">
      <c r="A41" t="s">
        <v>380</v>
      </c>
      <c r="B41" t="s">
        <v>175</v>
      </c>
      <c r="C41" t="s">
        <v>422</v>
      </c>
      <c r="D41" s="3" t="str">
        <f t="shared" si="2"/>
        <v>#784507</v>
      </c>
      <c r="I41" t="s">
        <v>175</v>
      </c>
      <c r="J41">
        <v>2</v>
      </c>
      <c r="K41">
        <v>2</v>
      </c>
      <c r="L41" t="str">
        <f t="shared" si="1"/>
        <v>#784507</v>
      </c>
      <c r="M41">
        <v>1</v>
      </c>
      <c r="N41">
        <v>1</v>
      </c>
    </row>
    <row r="42" spans="1:14" x14ac:dyDescent="0.2">
      <c r="A42" t="s">
        <v>371</v>
      </c>
      <c r="B42" t="s">
        <v>232</v>
      </c>
      <c r="C42" t="s">
        <v>425</v>
      </c>
      <c r="D42" s="3" t="str">
        <f t="shared" si="2"/>
        <v>#492359</v>
      </c>
      <c r="I42" t="s">
        <v>232</v>
      </c>
      <c r="J42">
        <v>2</v>
      </c>
      <c r="K42">
        <v>2</v>
      </c>
      <c r="L42" t="str">
        <f t="shared" si="1"/>
        <v>#492359</v>
      </c>
      <c r="M42">
        <v>1</v>
      </c>
      <c r="N42">
        <v>1</v>
      </c>
    </row>
    <row r="43" spans="1:14" x14ac:dyDescent="0.2">
      <c r="A43" t="s">
        <v>392</v>
      </c>
      <c r="B43" t="s">
        <v>233</v>
      </c>
      <c r="C43" t="s">
        <v>425</v>
      </c>
      <c r="D43" s="3" t="str">
        <f t="shared" si="2"/>
        <v>#492359</v>
      </c>
      <c r="I43" t="s">
        <v>233</v>
      </c>
      <c r="J43">
        <v>2</v>
      </c>
      <c r="K43">
        <v>2</v>
      </c>
      <c r="L43" t="str">
        <f t="shared" si="1"/>
        <v>#492359</v>
      </c>
      <c r="M43">
        <v>1</v>
      </c>
      <c r="N43">
        <v>1</v>
      </c>
    </row>
    <row r="44" spans="1:14" x14ac:dyDescent="0.2">
      <c r="A44" t="s">
        <v>383</v>
      </c>
      <c r="B44" t="s">
        <v>234</v>
      </c>
      <c r="C44" t="s">
        <v>425</v>
      </c>
      <c r="D44" s="3" t="str">
        <f t="shared" si="2"/>
        <v>#492359</v>
      </c>
      <c r="I44" t="s">
        <v>234</v>
      </c>
      <c r="J44">
        <v>2</v>
      </c>
      <c r="K44">
        <v>2</v>
      </c>
      <c r="L44" t="str">
        <f t="shared" si="1"/>
        <v>#492359</v>
      </c>
      <c r="M44">
        <v>1</v>
      </c>
      <c r="N44">
        <v>1</v>
      </c>
    </row>
    <row r="45" spans="1:14" x14ac:dyDescent="0.2">
      <c r="A45" t="s">
        <v>373</v>
      </c>
      <c r="B45" t="s">
        <v>235</v>
      </c>
      <c r="C45" t="s">
        <v>426</v>
      </c>
      <c r="D45" s="3" t="str">
        <f t="shared" si="2"/>
        <v>#ad4498</v>
      </c>
      <c r="I45" t="s">
        <v>235</v>
      </c>
      <c r="J45">
        <v>2</v>
      </c>
      <c r="K45">
        <v>2</v>
      </c>
      <c r="L45" t="str">
        <f t="shared" si="1"/>
        <v>#ad4498</v>
      </c>
      <c r="M45">
        <v>1</v>
      </c>
      <c r="N45">
        <v>1</v>
      </c>
    </row>
    <row r="46" spans="1:14" x14ac:dyDescent="0.2">
      <c r="A46" t="s">
        <v>445</v>
      </c>
      <c r="B46" t="s">
        <v>236</v>
      </c>
      <c r="C46" t="s">
        <v>427</v>
      </c>
      <c r="D46" s="3" t="str">
        <f t="shared" si="2"/>
        <v>#dfafd6</v>
      </c>
      <c r="I46" t="s">
        <v>236</v>
      </c>
      <c r="J46">
        <v>2</v>
      </c>
      <c r="K46">
        <v>2</v>
      </c>
      <c r="L46" t="str">
        <f t="shared" si="1"/>
        <v>#dfafd6</v>
      </c>
      <c r="M46">
        <v>1</v>
      </c>
      <c r="N46">
        <v>1</v>
      </c>
    </row>
    <row r="47" spans="1:14" x14ac:dyDescent="0.2">
      <c r="A47" t="s">
        <v>446</v>
      </c>
      <c r="B47" t="s">
        <v>237</v>
      </c>
      <c r="C47" t="s">
        <v>427</v>
      </c>
      <c r="D47" s="3" t="str">
        <f t="shared" si="2"/>
        <v>#dfafd6</v>
      </c>
      <c r="I47" t="s">
        <v>237</v>
      </c>
      <c r="J47">
        <v>2</v>
      </c>
      <c r="K47">
        <v>2</v>
      </c>
      <c r="L47" t="str">
        <f t="shared" si="1"/>
        <v>#dfafd6</v>
      </c>
      <c r="M47">
        <v>1</v>
      </c>
      <c r="N47">
        <v>1</v>
      </c>
    </row>
    <row r="48" spans="1:14" x14ac:dyDescent="0.2">
      <c r="A48" t="s">
        <v>447</v>
      </c>
      <c r="B48" t="s">
        <v>238</v>
      </c>
      <c r="C48" t="s">
        <v>427</v>
      </c>
      <c r="D48" s="3" t="str">
        <f t="shared" si="2"/>
        <v>#dfafd6</v>
      </c>
      <c r="I48" t="s">
        <v>238</v>
      </c>
      <c r="J48">
        <v>2</v>
      </c>
      <c r="K48">
        <v>2</v>
      </c>
      <c r="L48" t="str">
        <f t="shared" si="1"/>
        <v>#dfafd6</v>
      </c>
      <c r="M48">
        <v>1</v>
      </c>
      <c r="N48">
        <v>1</v>
      </c>
    </row>
    <row r="49" spans="1:14" x14ac:dyDescent="0.2">
      <c r="A49" t="s">
        <v>448</v>
      </c>
      <c r="B49" t="s">
        <v>239</v>
      </c>
      <c r="C49" t="s">
        <v>427</v>
      </c>
      <c r="D49" s="3" t="str">
        <f t="shared" si="2"/>
        <v>#dfafd6</v>
      </c>
      <c r="I49" t="s">
        <v>239</v>
      </c>
      <c r="J49">
        <v>2</v>
      </c>
      <c r="K49">
        <v>2</v>
      </c>
      <c r="L49" t="str">
        <f t="shared" si="1"/>
        <v>#dfafd6</v>
      </c>
      <c r="M49">
        <v>1</v>
      </c>
      <c r="N49">
        <v>1</v>
      </c>
    </row>
    <row r="50" spans="1:14" x14ac:dyDescent="0.2">
      <c r="A50" t="s">
        <v>449</v>
      </c>
      <c r="B50" t="s">
        <v>240</v>
      </c>
      <c r="C50" t="s">
        <v>427</v>
      </c>
      <c r="D50" s="3" t="str">
        <f t="shared" si="2"/>
        <v>#dfafd6</v>
      </c>
      <c r="I50" t="s">
        <v>240</v>
      </c>
      <c r="J50">
        <v>2</v>
      </c>
      <c r="K50">
        <v>2</v>
      </c>
      <c r="L50" t="str">
        <f t="shared" si="1"/>
        <v>#dfafd6</v>
      </c>
      <c r="M50">
        <v>1</v>
      </c>
      <c r="N50">
        <v>1</v>
      </c>
    </row>
    <row r="51" spans="1:14" x14ac:dyDescent="0.2">
      <c r="A51" t="s">
        <v>450</v>
      </c>
      <c r="B51" t="s">
        <v>241</v>
      </c>
      <c r="C51" t="s">
        <v>427</v>
      </c>
      <c r="D51" s="3" t="str">
        <f t="shared" si="2"/>
        <v>#dfafd6</v>
      </c>
      <c r="I51" t="s">
        <v>241</v>
      </c>
      <c r="J51">
        <v>2</v>
      </c>
      <c r="K51">
        <v>2</v>
      </c>
      <c r="L51" t="str">
        <f t="shared" si="1"/>
        <v>#dfafd6</v>
      </c>
      <c r="M51">
        <v>1</v>
      </c>
      <c r="N51">
        <v>1</v>
      </c>
    </row>
    <row r="52" spans="1:14" x14ac:dyDescent="0.2">
      <c r="A52" t="s">
        <v>451</v>
      </c>
      <c r="B52" t="s">
        <v>242</v>
      </c>
      <c r="C52" t="s">
        <v>427</v>
      </c>
      <c r="D52" s="3" t="str">
        <f t="shared" si="2"/>
        <v>#dfafd6</v>
      </c>
      <c r="I52" t="s">
        <v>242</v>
      </c>
      <c r="J52">
        <v>2</v>
      </c>
      <c r="K52">
        <v>2</v>
      </c>
      <c r="L52" t="str">
        <f t="shared" si="1"/>
        <v>#dfafd6</v>
      </c>
      <c r="M52">
        <v>1</v>
      </c>
      <c r="N52">
        <v>1</v>
      </c>
    </row>
    <row r="53" spans="1:14" x14ac:dyDescent="0.2">
      <c r="A53" t="s">
        <v>452</v>
      </c>
      <c r="B53" t="s">
        <v>243</v>
      </c>
      <c r="C53" t="s">
        <v>427</v>
      </c>
      <c r="D53" s="3" t="str">
        <f t="shared" si="2"/>
        <v>#dfafd6</v>
      </c>
      <c r="I53" t="s">
        <v>243</v>
      </c>
      <c r="J53">
        <v>2</v>
      </c>
      <c r="K53">
        <v>2</v>
      </c>
      <c r="L53" t="str">
        <f t="shared" si="1"/>
        <v>#dfafd6</v>
      </c>
      <c r="M53">
        <v>1</v>
      </c>
      <c r="N53">
        <v>1</v>
      </c>
    </row>
    <row r="54" spans="1:14" x14ac:dyDescent="0.2">
      <c r="A54" t="s">
        <v>406</v>
      </c>
      <c r="B54" t="s">
        <v>244</v>
      </c>
      <c r="C54" t="s">
        <v>55</v>
      </c>
      <c r="D54" s="3" t="str">
        <f t="shared" si="2"/>
        <v>#3ac42d</v>
      </c>
      <c r="I54" t="s">
        <v>244</v>
      </c>
      <c r="J54">
        <v>2</v>
      </c>
      <c r="K54">
        <v>2</v>
      </c>
      <c r="L54" t="str">
        <f t="shared" si="1"/>
        <v>#3ac42d</v>
      </c>
      <c r="M54">
        <v>1</v>
      </c>
      <c r="N54">
        <v>1</v>
      </c>
    </row>
    <row r="55" spans="1:14" x14ac:dyDescent="0.2">
      <c r="A55" t="s">
        <v>75</v>
      </c>
      <c r="B55" t="s">
        <v>245</v>
      </c>
      <c r="C55" t="s">
        <v>55</v>
      </c>
      <c r="D55" s="3" t="str">
        <f t="shared" si="2"/>
        <v>#3ac42d</v>
      </c>
      <c r="I55" t="s">
        <v>245</v>
      </c>
      <c r="J55">
        <v>2</v>
      </c>
      <c r="K55">
        <v>2</v>
      </c>
      <c r="L55" t="str">
        <f t="shared" si="1"/>
        <v>#3ac42d</v>
      </c>
      <c r="M55">
        <v>1</v>
      </c>
      <c r="N55">
        <v>1</v>
      </c>
    </row>
    <row r="56" spans="1:14" x14ac:dyDescent="0.2">
      <c r="A56" t="s">
        <v>407</v>
      </c>
      <c r="B56" t="s">
        <v>246</v>
      </c>
      <c r="C56" t="s">
        <v>55</v>
      </c>
      <c r="D56" s="3" t="str">
        <f t="shared" si="2"/>
        <v>#3ac42d</v>
      </c>
      <c r="I56" t="s">
        <v>246</v>
      </c>
      <c r="J56">
        <v>2</v>
      </c>
      <c r="K56">
        <v>2</v>
      </c>
      <c r="L56" t="str">
        <f t="shared" si="1"/>
        <v>#3ac42d</v>
      </c>
      <c r="M56">
        <v>1</v>
      </c>
      <c r="N56">
        <v>1</v>
      </c>
    </row>
    <row r="57" spans="1:14" x14ac:dyDescent="0.2">
      <c r="A57" t="s">
        <v>399</v>
      </c>
      <c r="B57" t="s">
        <v>247</v>
      </c>
      <c r="C57" t="s">
        <v>55</v>
      </c>
      <c r="D57" s="3" t="str">
        <f t="shared" si="2"/>
        <v>#3ac42d</v>
      </c>
      <c r="I57" t="s">
        <v>247</v>
      </c>
      <c r="J57">
        <v>2</v>
      </c>
      <c r="K57">
        <v>2</v>
      </c>
      <c r="L57" t="str">
        <f t="shared" si="1"/>
        <v>#3ac42d</v>
      </c>
      <c r="M57">
        <v>1</v>
      </c>
      <c r="N57">
        <v>1</v>
      </c>
    </row>
    <row r="58" spans="1:14" x14ac:dyDescent="0.2">
      <c r="A58" t="s">
        <v>405</v>
      </c>
      <c r="B58" t="s">
        <v>248</v>
      </c>
      <c r="C58" t="s">
        <v>55</v>
      </c>
      <c r="D58" s="3" t="str">
        <f t="shared" si="2"/>
        <v>#3ac42d</v>
      </c>
      <c r="I58" t="s">
        <v>248</v>
      </c>
      <c r="J58">
        <v>2</v>
      </c>
      <c r="K58">
        <v>2</v>
      </c>
      <c r="L58" t="str">
        <f t="shared" si="1"/>
        <v>#3ac42d</v>
      </c>
      <c r="M58">
        <v>1</v>
      </c>
      <c r="N58">
        <v>1</v>
      </c>
    </row>
    <row r="59" spans="1:14" x14ac:dyDescent="0.2">
      <c r="A59" t="s">
        <v>394</v>
      </c>
      <c r="B59" t="s">
        <v>249</v>
      </c>
      <c r="C59" t="s">
        <v>55</v>
      </c>
      <c r="D59" s="3" t="str">
        <f t="shared" si="2"/>
        <v>#3ac42d</v>
      </c>
      <c r="I59" t="s">
        <v>249</v>
      </c>
      <c r="J59">
        <v>2</v>
      </c>
      <c r="K59">
        <v>2</v>
      </c>
      <c r="L59" t="str">
        <f t="shared" si="1"/>
        <v>#3ac42d</v>
      </c>
      <c r="M59">
        <v>1</v>
      </c>
      <c r="N59">
        <v>1</v>
      </c>
    </row>
    <row r="60" spans="1:14" x14ac:dyDescent="0.2">
      <c r="A60" t="s">
        <v>385</v>
      </c>
      <c r="B60" t="s">
        <v>250</v>
      </c>
      <c r="C60" t="s">
        <v>55</v>
      </c>
      <c r="D60" s="3" t="str">
        <f t="shared" si="2"/>
        <v>#3ac42d</v>
      </c>
      <c r="I60" t="s">
        <v>250</v>
      </c>
      <c r="J60">
        <v>2</v>
      </c>
      <c r="K60">
        <v>2</v>
      </c>
      <c r="L60" t="str">
        <f t="shared" si="1"/>
        <v>#3ac42d</v>
      </c>
      <c r="M60">
        <v>1</v>
      </c>
      <c r="N60">
        <v>1</v>
      </c>
    </row>
    <row r="61" spans="1:14" x14ac:dyDescent="0.2">
      <c r="A61" t="s">
        <v>375</v>
      </c>
      <c r="B61" t="s">
        <v>267</v>
      </c>
      <c r="C61" t="s">
        <v>428</v>
      </c>
      <c r="D61" s="3" t="str">
        <f t="shared" si="2"/>
        <v>#8c7209</v>
      </c>
      <c r="I61" t="s">
        <v>267</v>
      </c>
      <c r="J61">
        <v>2</v>
      </c>
      <c r="K61">
        <v>2</v>
      </c>
      <c r="L61" t="str">
        <f t="shared" si="1"/>
        <v>#8c7209</v>
      </c>
      <c r="M61">
        <v>1</v>
      </c>
      <c r="N61">
        <v>1</v>
      </c>
    </row>
    <row r="62" spans="1:14" x14ac:dyDescent="0.2">
      <c r="A62" t="s">
        <v>395</v>
      </c>
      <c r="B62" t="s">
        <v>268</v>
      </c>
      <c r="C62" t="s">
        <v>428</v>
      </c>
      <c r="D62" s="3" t="str">
        <f t="shared" si="2"/>
        <v>#8c7209</v>
      </c>
      <c r="I62" t="s">
        <v>268</v>
      </c>
      <c r="J62">
        <v>2</v>
      </c>
      <c r="K62">
        <v>2</v>
      </c>
      <c r="L62" t="str">
        <f t="shared" si="1"/>
        <v>#8c7209</v>
      </c>
      <c r="M62">
        <v>1</v>
      </c>
      <c r="N62">
        <v>1</v>
      </c>
    </row>
    <row r="63" spans="1:14" x14ac:dyDescent="0.2">
      <c r="A63" t="s">
        <v>401</v>
      </c>
      <c r="B63" t="s">
        <v>269</v>
      </c>
      <c r="C63" t="s">
        <v>428</v>
      </c>
      <c r="D63" s="3" t="str">
        <f t="shared" si="2"/>
        <v>#8c7209</v>
      </c>
      <c r="I63" t="s">
        <v>269</v>
      </c>
      <c r="J63">
        <v>2</v>
      </c>
      <c r="K63">
        <v>2</v>
      </c>
      <c r="L63" t="str">
        <f t="shared" si="1"/>
        <v>#8c7209</v>
      </c>
      <c r="M63">
        <v>1</v>
      </c>
      <c r="N63">
        <v>1</v>
      </c>
    </row>
    <row r="64" spans="1:14" x14ac:dyDescent="0.2">
      <c r="A64" t="s">
        <v>409</v>
      </c>
      <c r="B64" t="s">
        <v>270</v>
      </c>
      <c r="C64" t="s">
        <v>428</v>
      </c>
      <c r="D64" s="3" t="str">
        <f t="shared" si="2"/>
        <v>#8c7209</v>
      </c>
      <c r="I64" t="s">
        <v>270</v>
      </c>
      <c r="J64">
        <v>2</v>
      </c>
      <c r="K64">
        <v>2</v>
      </c>
      <c r="L64" t="str">
        <f t="shared" si="1"/>
        <v>#8c7209</v>
      </c>
      <c r="M64">
        <v>1</v>
      </c>
      <c r="N64">
        <v>1</v>
      </c>
    </row>
    <row r="65" spans="1:14" x14ac:dyDescent="0.2">
      <c r="A65" t="s">
        <v>387</v>
      </c>
      <c r="B65" t="s">
        <v>271</v>
      </c>
      <c r="C65" t="s">
        <v>428</v>
      </c>
      <c r="D65" s="3" t="str">
        <f t="shared" si="2"/>
        <v>#8c7209</v>
      </c>
      <c r="I65" t="s">
        <v>271</v>
      </c>
      <c r="J65">
        <v>2</v>
      </c>
      <c r="K65">
        <v>2</v>
      </c>
      <c r="L65" t="str">
        <f t="shared" si="1"/>
        <v>#8c7209</v>
      </c>
      <c r="M65">
        <v>1</v>
      </c>
      <c r="N65">
        <v>1</v>
      </c>
    </row>
    <row r="66" spans="1:14" x14ac:dyDescent="0.2">
      <c r="A66" t="s">
        <v>376</v>
      </c>
      <c r="B66" t="s">
        <v>272</v>
      </c>
      <c r="C66" t="s">
        <v>428</v>
      </c>
      <c r="D66" s="3" t="str">
        <f t="shared" ref="D66" si="3">VLOOKUP(C66,$F$2:$G$20,2)</f>
        <v>#8c7209</v>
      </c>
      <c r="I66" t="s">
        <v>272</v>
      </c>
      <c r="J66">
        <v>2</v>
      </c>
      <c r="K66">
        <v>2</v>
      </c>
      <c r="L66" t="str">
        <f t="shared" si="1"/>
        <v>#8c7209</v>
      </c>
      <c r="M66">
        <v>1</v>
      </c>
      <c r="N66">
        <v>1</v>
      </c>
    </row>
    <row r="67" spans="1:14" x14ac:dyDescent="0.2">
      <c r="A67" t="s">
        <v>403</v>
      </c>
      <c r="B67" t="s">
        <v>273</v>
      </c>
      <c r="C67" t="s">
        <v>428</v>
      </c>
      <c r="D67" s="3" t="str">
        <f t="shared" ref="D67:D70" si="4">VLOOKUP(C67,$F$2:$G$20,2)</f>
        <v>#8c7209</v>
      </c>
      <c r="I67" t="s">
        <v>273</v>
      </c>
      <c r="J67">
        <v>2</v>
      </c>
      <c r="K67">
        <v>2</v>
      </c>
      <c r="L67" t="str">
        <f t="shared" ref="L67:L70" si="5">D67</f>
        <v>#8c7209</v>
      </c>
      <c r="M67">
        <v>1</v>
      </c>
      <c r="N67">
        <v>1</v>
      </c>
    </row>
    <row r="68" spans="1:14" x14ac:dyDescent="0.2">
      <c r="A68" t="s">
        <v>397</v>
      </c>
      <c r="B68" t="s">
        <v>274</v>
      </c>
      <c r="C68" t="s">
        <v>428</v>
      </c>
      <c r="D68" s="3" t="str">
        <f t="shared" si="4"/>
        <v>#8c7209</v>
      </c>
      <c r="I68" t="s">
        <v>274</v>
      </c>
      <c r="J68">
        <v>2</v>
      </c>
      <c r="K68">
        <v>2</v>
      </c>
      <c r="L68" t="str">
        <f t="shared" si="5"/>
        <v>#8c7209</v>
      </c>
      <c r="M68">
        <v>1</v>
      </c>
      <c r="N68">
        <v>1</v>
      </c>
    </row>
    <row r="69" spans="1:14" x14ac:dyDescent="0.2">
      <c r="A69" t="s">
        <v>469</v>
      </c>
      <c r="B69" t="s">
        <v>468</v>
      </c>
      <c r="C69" t="s">
        <v>55</v>
      </c>
      <c r="D69" s="3" t="str">
        <f t="shared" si="4"/>
        <v>#3ac42d</v>
      </c>
      <c r="I69" t="s">
        <v>468</v>
      </c>
      <c r="J69">
        <v>2</v>
      </c>
      <c r="K69">
        <v>2</v>
      </c>
      <c r="L69" t="str">
        <f t="shared" si="5"/>
        <v>#3ac42d</v>
      </c>
      <c r="M69">
        <v>1</v>
      </c>
      <c r="N69">
        <v>1</v>
      </c>
    </row>
    <row r="70" spans="1:14" x14ac:dyDescent="0.2">
      <c r="A70" t="s">
        <v>470</v>
      </c>
      <c r="B70" t="s">
        <v>467</v>
      </c>
      <c r="C70" t="s">
        <v>56</v>
      </c>
      <c r="D70" s="3" t="str">
        <f t="shared" si="4"/>
        <v>#8e44ad</v>
      </c>
      <c r="I70" t="s">
        <v>467</v>
      </c>
      <c r="J70">
        <v>2</v>
      </c>
      <c r="K70">
        <v>2</v>
      </c>
      <c r="L70" t="str">
        <f t="shared" si="5"/>
        <v>#8e44ad</v>
      </c>
      <c r="M70">
        <v>1</v>
      </c>
      <c r="N70">
        <v>1</v>
      </c>
    </row>
  </sheetData>
  <sortState xmlns:xlrd2="http://schemas.microsoft.com/office/spreadsheetml/2017/richdata2" ref="F2:G20">
    <sortCondition ref="F2:F2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E84E-4107-324F-89FE-EA877C40CB86}">
  <dimension ref="A1:T86"/>
  <sheetViews>
    <sheetView zoomScale="90" zoomScaleNormal="90" workbookViewId="0">
      <selection activeCell="Q1" sqref="Q1:T1048576"/>
    </sheetView>
  </sheetViews>
  <sheetFormatPr baseColWidth="10" defaultRowHeight="16" x14ac:dyDescent="0.2"/>
  <cols>
    <col min="1" max="1" width="72" style="3" bestFit="1" customWidth="1"/>
    <col min="2" max="2" width="6" customWidth="1"/>
    <col min="3" max="3" width="14.5" bestFit="1" customWidth="1"/>
    <col min="4" max="4" width="13.83203125" bestFit="1" customWidth="1"/>
    <col min="7" max="7" width="15.6640625" bestFit="1" customWidth="1"/>
    <col min="8" max="8" width="11.6640625" bestFit="1" customWidth="1"/>
    <col min="11" max="12" width="10.83203125" style="3"/>
    <col min="13" max="13" width="13.83203125" style="3" bestFit="1" customWidth="1"/>
    <col min="14" max="15" width="10.83203125" style="3"/>
    <col min="17" max="17" width="18.1640625" bestFit="1" customWidth="1"/>
    <col min="18" max="18" width="33" bestFit="1" customWidth="1"/>
    <col min="19" max="19" width="14.33203125" bestFit="1" customWidth="1"/>
  </cols>
  <sheetData>
    <row r="1" spans="1:20" x14ac:dyDescent="0.2">
      <c r="M1" s="3" t="s">
        <v>430</v>
      </c>
      <c r="Q1" s="15" t="s">
        <v>453</v>
      </c>
      <c r="R1" s="16" t="s">
        <v>85</v>
      </c>
      <c r="S1" s="16" t="s">
        <v>86</v>
      </c>
      <c r="T1" s="17" t="s">
        <v>429</v>
      </c>
    </row>
    <row r="2" spans="1:20" x14ac:dyDescent="0.2">
      <c r="A2" s="3" t="s">
        <v>310</v>
      </c>
      <c r="B2" t="s">
        <v>362</v>
      </c>
      <c r="C2" t="s">
        <v>405</v>
      </c>
      <c r="D2" t="s">
        <v>72</v>
      </c>
      <c r="E2" t="s">
        <v>365</v>
      </c>
      <c r="F2" t="s">
        <v>366</v>
      </c>
      <c r="G2" t="s">
        <v>188</v>
      </c>
      <c r="H2" t="s">
        <v>367</v>
      </c>
      <c r="K2" s="3">
        <v>2</v>
      </c>
      <c r="L2" s="3">
        <v>2</v>
      </c>
      <c r="M2" s="3" t="str">
        <f>VLOOKUP(C2,$Q$2:$T$70,4,FALSE)</f>
        <v>#3ac42d</v>
      </c>
      <c r="N2" s="3">
        <v>1</v>
      </c>
      <c r="O2" s="3">
        <v>1</v>
      </c>
      <c r="Q2" s="13" t="s">
        <v>77</v>
      </c>
      <c r="R2" t="s">
        <v>33</v>
      </c>
      <c r="S2" t="s">
        <v>52</v>
      </c>
      <c r="T2" s="18" t="s">
        <v>454</v>
      </c>
    </row>
    <row r="3" spans="1:20" x14ac:dyDescent="0.2">
      <c r="A3" s="3" t="s">
        <v>350</v>
      </c>
      <c r="B3" t="s">
        <v>411</v>
      </c>
      <c r="C3" t="s">
        <v>405</v>
      </c>
      <c r="D3" t="s">
        <v>72</v>
      </c>
      <c r="E3" t="s">
        <v>365</v>
      </c>
      <c r="F3" t="s">
        <v>366</v>
      </c>
      <c r="G3" t="s">
        <v>412</v>
      </c>
      <c r="H3" t="s">
        <v>413</v>
      </c>
      <c r="I3" t="s">
        <v>367</v>
      </c>
      <c r="K3" s="3">
        <v>2</v>
      </c>
      <c r="L3" s="3">
        <v>2</v>
      </c>
      <c r="M3" s="3" t="str">
        <f t="shared" ref="M3:M66" si="0">VLOOKUP(C3,$Q$2:$T$70,4,FALSE)</f>
        <v>#3ac42d</v>
      </c>
      <c r="N3" s="3">
        <v>1</v>
      </c>
      <c r="O3" s="3">
        <v>1</v>
      </c>
      <c r="Q3" s="13" t="s">
        <v>78</v>
      </c>
      <c r="R3" t="s">
        <v>34</v>
      </c>
      <c r="S3" t="s">
        <v>54</v>
      </c>
      <c r="T3" s="18" t="s">
        <v>472</v>
      </c>
    </row>
    <row r="4" spans="1:20" x14ac:dyDescent="0.2">
      <c r="A4" s="3" t="s">
        <v>285</v>
      </c>
      <c r="B4" t="s">
        <v>362</v>
      </c>
      <c r="C4" t="s">
        <v>77</v>
      </c>
      <c r="D4" t="s">
        <v>71</v>
      </c>
      <c r="E4" t="s">
        <v>365</v>
      </c>
      <c r="F4" t="s">
        <v>366</v>
      </c>
      <c r="G4" t="s">
        <v>188</v>
      </c>
      <c r="H4" t="s">
        <v>367</v>
      </c>
      <c r="K4" s="3">
        <v>2</v>
      </c>
      <c r="L4" s="3">
        <v>2</v>
      </c>
      <c r="M4" s="3" t="str">
        <f t="shared" si="0"/>
        <v>#0f4426</v>
      </c>
      <c r="N4" s="3">
        <v>1</v>
      </c>
      <c r="O4" s="3">
        <v>1</v>
      </c>
      <c r="Q4" s="13" t="s">
        <v>79</v>
      </c>
      <c r="R4" t="s">
        <v>35</v>
      </c>
      <c r="S4" t="s">
        <v>53</v>
      </c>
      <c r="T4" s="18" t="s">
        <v>455</v>
      </c>
    </row>
    <row r="5" spans="1:20" x14ac:dyDescent="0.2">
      <c r="A5" s="3" t="s">
        <v>321</v>
      </c>
      <c r="B5" t="s">
        <v>411</v>
      </c>
      <c r="C5" t="s">
        <v>77</v>
      </c>
      <c r="D5" t="s">
        <v>71</v>
      </c>
      <c r="E5" t="s">
        <v>365</v>
      </c>
      <c r="F5" t="s">
        <v>366</v>
      </c>
      <c r="G5" t="s">
        <v>412</v>
      </c>
      <c r="H5" t="s">
        <v>413</v>
      </c>
      <c r="I5" t="s">
        <v>367</v>
      </c>
      <c r="K5" s="3">
        <v>2</v>
      </c>
      <c r="L5" s="3">
        <v>2</v>
      </c>
      <c r="M5" s="3" t="str">
        <f t="shared" si="0"/>
        <v>#0f4426</v>
      </c>
      <c r="N5" s="3">
        <v>1</v>
      </c>
      <c r="O5" s="3">
        <v>1</v>
      </c>
      <c r="Q5" s="13" t="s">
        <v>78</v>
      </c>
      <c r="R5" t="s">
        <v>36</v>
      </c>
      <c r="S5" t="s">
        <v>54</v>
      </c>
      <c r="T5" s="18" t="s">
        <v>472</v>
      </c>
    </row>
    <row r="6" spans="1:20" x14ac:dyDescent="0.2">
      <c r="A6" s="3" t="s">
        <v>298</v>
      </c>
      <c r="B6" t="s">
        <v>362</v>
      </c>
      <c r="C6" t="s">
        <v>392</v>
      </c>
      <c r="D6" t="s">
        <v>393</v>
      </c>
      <c r="E6" t="s">
        <v>365</v>
      </c>
      <c r="F6" t="s">
        <v>366</v>
      </c>
      <c r="G6" t="s">
        <v>188</v>
      </c>
      <c r="H6" t="s">
        <v>367</v>
      </c>
      <c r="K6" s="3">
        <v>2</v>
      </c>
      <c r="L6" s="3">
        <v>2</v>
      </c>
      <c r="M6" s="3" t="str">
        <f t="shared" si="0"/>
        <v>#492359</v>
      </c>
      <c r="N6" s="3">
        <v>1</v>
      </c>
      <c r="O6" s="3">
        <v>1</v>
      </c>
      <c r="Q6" s="13" t="s">
        <v>80</v>
      </c>
      <c r="R6" t="s">
        <v>37</v>
      </c>
      <c r="S6" t="s">
        <v>54</v>
      </c>
      <c r="T6" s="18" t="s">
        <v>472</v>
      </c>
    </row>
    <row r="7" spans="1:20" x14ac:dyDescent="0.2">
      <c r="A7" s="3" t="s">
        <v>333</v>
      </c>
      <c r="B7" t="s">
        <v>411</v>
      </c>
      <c r="C7" t="s">
        <v>392</v>
      </c>
      <c r="D7" t="s">
        <v>393</v>
      </c>
      <c r="E7" t="s">
        <v>365</v>
      </c>
      <c r="F7" t="s">
        <v>366</v>
      </c>
      <c r="G7" t="s">
        <v>412</v>
      </c>
      <c r="H7" t="s">
        <v>413</v>
      </c>
      <c r="I7" t="s">
        <v>367</v>
      </c>
      <c r="K7" s="3">
        <v>2</v>
      </c>
      <c r="L7" s="3">
        <v>2</v>
      </c>
      <c r="M7" s="3" t="str">
        <f t="shared" si="0"/>
        <v>#492359</v>
      </c>
      <c r="N7" s="3">
        <v>1</v>
      </c>
      <c r="O7" s="3">
        <v>1</v>
      </c>
      <c r="Q7" s="13" t="s">
        <v>81</v>
      </c>
      <c r="R7" t="s">
        <v>38</v>
      </c>
      <c r="S7" t="s">
        <v>54</v>
      </c>
      <c r="T7" s="18" t="s">
        <v>472</v>
      </c>
    </row>
    <row r="8" spans="1:20" x14ac:dyDescent="0.2">
      <c r="A8" s="3" t="s">
        <v>283</v>
      </c>
      <c r="B8" t="s">
        <v>362</v>
      </c>
      <c r="C8" t="s">
        <v>376</v>
      </c>
      <c r="D8" t="s">
        <v>377</v>
      </c>
      <c r="E8" t="s">
        <v>365</v>
      </c>
      <c r="F8" t="s">
        <v>366</v>
      </c>
      <c r="G8" t="s">
        <v>188</v>
      </c>
      <c r="H8" t="s">
        <v>367</v>
      </c>
      <c r="K8" s="3">
        <v>2</v>
      </c>
      <c r="L8" s="3">
        <v>2</v>
      </c>
      <c r="M8" s="3" t="str">
        <f t="shared" si="0"/>
        <v>#8c7209</v>
      </c>
      <c r="N8" s="3">
        <v>1</v>
      </c>
      <c r="O8" s="3">
        <v>1</v>
      </c>
      <c r="Q8" s="13" t="s">
        <v>81</v>
      </c>
      <c r="R8" t="s">
        <v>39</v>
      </c>
      <c r="S8" t="s">
        <v>54</v>
      </c>
      <c r="T8" s="18" t="s">
        <v>472</v>
      </c>
    </row>
    <row r="9" spans="1:20" x14ac:dyDescent="0.2">
      <c r="A9" s="3" t="s">
        <v>284</v>
      </c>
      <c r="B9" t="s">
        <v>362</v>
      </c>
      <c r="C9" t="s">
        <v>376</v>
      </c>
      <c r="D9" t="s">
        <v>377</v>
      </c>
      <c r="E9" t="s">
        <v>365</v>
      </c>
      <c r="F9" t="s">
        <v>366</v>
      </c>
      <c r="G9" t="s">
        <v>188</v>
      </c>
      <c r="H9" t="s">
        <v>370</v>
      </c>
      <c r="K9" s="3">
        <v>2</v>
      </c>
      <c r="L9" s="3">
        <v>2</v>
      </c>
      <c r="M9" s="3" t="str">
        <f t="shared" si="0"/>
        <v>#8c7209</v>
      </c>
      <c r="N9" s="3">
        <v>1</v>
      </c>
      <c r="O9" s="3">
        <v>1</v>
      </c>
      <c r="Q9" s="13" t="s">
        <v>81</v>
      </c>
      <c r="R9" t="s">
        <v>40</v>
      </c>
      <c r="S9" t="s">
        <v>54</v>
      </c>
      <c r="T9" s="18" t="s">
        <v>472</v>
      </c>
    </row>
    <row r="10" spans="1:20" x14ac:dyDescent="0.2">
      <c r="A10" s="3" t="s">
        <v>346</v>
      </c>
      <c r="B10" t="s">
        <v>411</v>
      </c>
      <c r="C10" t="s">
        <v>376</v>
      </c>
      <c r="D10" t="s">
        <v>377</v>
      </c>
      <c r="E10" t="s">
        <v>365</v>
      </c>
      <c r="F10" t="s">
        <v>366</v>
      </c>
      <c r="G10" t="s">
        <v>412</v>
      </c>
      <c r="H10" t="s">
        <v>413</v>
      </c>
      <c r="I10" t="s">
        <v>367</v>
      </c>
      <c r="K10" s="3">
        <v>2</v>
      </c>
      <c r="L10" s="3">
        <v>2</v>
      </c>
      <c r="M10" s="3" t="str">
        <f t="shared" si="0"/>
        <v>#8c7209</v>
      </c>
      <c r="N10" s="3">
        <v>1</v>
      </c>
      <c r="O10" s="3">
        <v>1</v>
      </c>
      <c r="Q10" s="13" t="s">
        <v>82</v>
      </c>
      <c r="R10" t="s">
        <v>41</v>
      </c>
      <c r="S10" t="s">
        <v>54</v>
      </c>
      <c r="T10" s="18" t="s">
        <v>472</v>
      </c>
    </row>
    <row r="11" spans="1:20" x14ac:dyDescent="0.2">
      <c r="A11" s="3" t="s">
        <v>347</v>
      </c>
      <c r="B11" t="s">
        <v>411</v>
      </c>
      <c r="C11" t="s">
        <v>376</v>
      </c>
      <c r="D11" t="s">
        <v>377</v>
      </c>
      <c r="E11" t="s">
        <v>365</v>
      </c>
      <c r="F11" t="s">
        <v>366</v>
      </c>
      <c r="G11" t="s">
        <v>412</v>
      </c>
      <c r="H11" t="s">
        <v>413</v>
      </c>
      <c r="I11" t="s">
        <v>370</v>
      </c>
      <c r="K11" s="3">
        <v>2</v>
      </c>
      <c r="L11" s="3">
        <v>2</v>
      </c>
      <c r="M11" s="3" t="str">
        <f t="shared" si="0"/>
        <v>#8c7209</v>
      </c>
      <c r="N11" s="3">
        <v>1</v>
      </c>
      <c r="O11" s="3">
        <v>1</v>
      </c>
      <c r="Q11" s="13" t="s">
        <v>78</v>
      </c>
      <c r="R11" t="s">
        <v>42</v>
      </c>
      <c r="S11" t="s">
        <v>54</v>
      </c>
      <c r="T11" s="18" t="s">
        <v>472</v>
      </c>
    </row>
    <row r="12" spans="1:20" x14ac:dyDescent="0.2">
      <c r="A12" s="3" t="s">
        <v>311</v>
      </c>
      <c r="B12" t="s">
        <v>362</v>
      </c>
      <c r="C12" t="s">
        <v>406</v>
      </c>
      <c r="D12" t="s">
        <v>74</v>
      </c>
      <c r="E12" t="s">
        <v>365</v>
      </c>
      <c r="F12" t="s">
        <v>366</v>
      </c>
      <c r="G12" t="s">
        <v>188</v>
      </c>
      <c r="H12" t="s">
        <v>389</v>
      </c>
      <c r="K12" s="3">
        <v>2</v>
      </c>
      <c r="L12" s="3">
        <v>2</v>
      </c>
      <c r="M12" s="3" t="str">
        <f t="shared" si="0"/>
        <v>#3ac42d</v>
      </c>
      <c r="N12" s="3">
        <v>1</v>
      </c>
      <c r="O12" s="3">
        <v>1</v>
      </c>
      <c r="Q12" s="13" t="s">
        <v>78</v>
      </c>
      <c r="R12" t="s">
        <v>43</v>
      </c>
      <c r="S12" t="s">
        <v>54</v>
      </c>
      <c r="T12" s="18" t="s">
        <v>472</v>
      </c>
    </row>
    <row r="13" spans="1:20" x14ac:dyDescent="0.2">
      <c r="A13" s="3" t="s">
        <v>312</v>
      </c>
      <c r="B13" t="s">
        <v>362</v>
      </c>
      <c r="C13" t="s">
        <v>406</v>
      </c>
      <c r="D13" t="s">
        <v>74</v>
      </c>
      <c r="E13" t="s">
        <v>365</v>
      </c>
      <c r="F13" t="s">
        <v>366</v>
      </c>
      <c r="G13" t="s">
        <v>188</v>
      </c>
      <c r="H13" t="s">
        <v>367</v>
      </c>
      <c r="K13" s="3">
        <v>2</v>
      </c>
      <c r="L13" s="3">
        <v>2</v>
      </c>
      <c r="M13" s="3" t="str">
        <f t="shared" si="0"/>
        <v>#3ac42d</v>
      </c>
      <c r="N13" s="3">
        <v>1</v>
      </c>
      <c r="O13" s="3">
        <v>1</v>
      </c>
      <c r="Q13" s="13" t="s">
        <v>78</v>
      </c>
      <c r="R13" t="s">
        <v>44</v>
      </c>
      <c r="S13" t="s">
        <v>54</v>
      </c>
      <c r="T13" s="18" t="s">
        <v>472</v>
      </c>
    </row>
    <row r="14" spans="1:20" x14ac:dyDescent="0.2">
      <c r="A14" s="3" t="s">
        <v>313</v>
      </c>
      <c r="B14" t="s">
        <v>362</v>
      </c>
      <c r="C14" t="s">
        <v>406</v>
      </c>
      <c r="D14" t="s">
        <v>74</v>
      </c>
      <c r="E14" t="s">
        <v>365</v>
      </c>
      <c r="F14" t="s">
        <v>366</v>
      </c>
      <c r="G14" t="s">
        <v>188</v>
      </c>
      <c r="H14" t="s">
        <v>370</v>
      </c>
      <c r="K14" s="3">
        <v>2</v>
      </c>
      <c r="L14" s="3">
        <v>2</v>
      </c>
      <c r="M14" s="3" t="str">
        <f t="shared" si="0"/>
        <v>#3ac42d</v>
      </c>
      <c r="N14" s="3">
        <v>1</v>
      </c>
      <c r="O14" s="3">
        <v>1</v>
      </c>
      <c r="Q14" s="13" t="s">
        <v>78</v>
      </c>
      <c r="R14" t="s">
        <v>45</v>
      </c>
      <c r="S14" t="s">
        <v>54</v>
      </c>
      <c r="T14" s="18" t="s">
        <v>472</v>
      </c>
    </row>
    <row r="15" spans="1:20" x14ac:dyDescent="0.2">
      <c r="A15" s="3" t="s">
        <v>354</v>
      </c>
      <c r="B15" t="s">
        <v>411</v>
      </c>
      <c r="C15" t="s">
        <v>406</v>
      </c>
      <c r="D15" t="s">
        <v>74</v>
      </c>
      <c r="E15" t="s">
        <v>365</v>
      </c>
      <c r="F15" t="s">
        <v>366</v>
      </c>
      <c r="G15" t="s">
        <v>412</v>
      </c>
      <c r="H15" t="s">
        <v>413</v>
      </c>
      <c r="I15" t="s">
        <v>389</v>
      </c>
      <c r="K15" s="3">
        <v>2</v>
      </c>
      <c r="L15" s="3">
        <v>2</v>
      </c>
      <c r="M15" s="3" t="str">
        <f t="shared" si="0"/>
        <v>#3ac42d</v>
      </c>
      <c r="N15" s="3">
        <v>1</v>
      </c>
      <c r="O15" s="3">
        <v>1</v>
      </c>
      <c r="Q15" s="13" t="s">
        <v>83</v>
      </c>
      <c r="R15" t="s">
        <v>63</v>
      </c>
      <c r="S15" t="s">
        <v>87</v>
      </c>
      <c r="T15" s="18" t="s">
        <v>471</v>
      </c>
    </row>
    <row r="16" spans="1:20" x14ac:dyDescent="0.2">
      <c r="A16" s="3" t="s">
        <v>355</v>
      </c>
      <c r="B16" t="s">
        <v>411</v>
      </c>
      <c r="C16" t="s">
        <v>406</v>
      </c>
      <c r="D16" t="s">
        <v>74</v>
      </c>
      <c r="E16" t="s">
        <v>365</v>
      </c>
      <c r="F16" t="s">
        <v>366</v>
      </c>
      <c r="G16" t="s">
        <v>412</v>
      </c>
      <c r="H16" t="s">
        <v>413</v>
      </c>
      <c r="I16" t="s">
        <v>367</v>
      </c>
      <c r="K16" s="3">
        <v>2</v>
      </c>
      <c r="L16" s="3">
        <v>2</v>
      </c>
      <c r="M16" s="3" t="str">
        <f t="shared" si="0"/>
        <v>#3ac42d</v>
      </c>
      <c r="N16" s="3">
        <v>1</v>
      </c>
      <c r="O16" s="3">
        <v>1</v>
      </c>
      <c r="Q16" s="13" t="s">
        <v>84</v>
      </c>
      <c r="R16" t="s">
        <v>64</v>
      </c>
      <c r="S16" t="s">
        <v>87</v>
      </c>
      <c r="T16" s="18" t="s">
        <v>471</v>
      </c>
    </row>
    <row r="17" spans="1:20" x14ac:dyDescent="0.2">
      <c r="A17" s="3" t="s">
        <v>356</v>
      </c>
      <c r="B17" t="s">
        <v>411</v>
      </c>
      <c r="C17" t="s">
        <v>406</v>
      </c>
      <c r="D17" t="s">
        <v>74</v>
      </c>
      <c r="E17" t="s">
        <v>365</v>
      </c>
      <c r="F17" t="s">
        <v>366</v>
      </c>
      <c r="G17" t="s">
        <v>412</v>
      </c>
      <c r="H17" t="s">
        <v>413</v>
      </c>
      <c r="I17" t="s">
        <v>370</v>
      </c>
      <c r="K17" s="3">
        <v>2</v>
      </c>
      <c r="L17" s="3">
        <v>2</v>
      </c>
      <c r="M17" s="3" t="str">
        <f t="shared" si="0"/>
        <v>#3ac42d</v>
      </c>
      <c r="N17" s="3">
        <v>1</v>
      </c>
      <c r="O17" s="3">
        <v>1</v>
      </c>
      <c r="Q17" s="13" t="s">
        <v>83</v>
      </c>
      <c r="R17" t="s">
        <v>65</v>
      </c>
      <c r="S17" t="s">
        <v>87</v>
      </c>
      <c r="T17" s="18" t="s">
        <v>471</v>
      </c>
    </row>
    <row r="18" spans="1:20" x14ac:dyDescent="0.2">
      <c r="A18" s="3" t="s">
        <v>292</v>
      </c>
      <c r="B18" t="s">
        <v>362</v>
      </c>
      <c r="C18" t="s">
        <v>387</v>
      </c>
      <c r="D18" t="s">
        <v>388</v>
      </c>
      <c r="E18" t="s">
        <v>365</v>
      </c>
      <c r="F18" t="s">
        <v>366</v>
      </c>
      <c r="G18" t="s">
        <v>188</v>
      </c>
      <c r="H18" t="s">
        <v>389</v>
      </c>
      <c r="K18" s="3">
        <v>2</v>
      </c>
      <c r="L18" s="3">
        <v>2</v>
      </c>
      <c r="M18" s="3" t="str">
        <f t="shared" si="0"/>
        <v>#8c7209</v>
      </c>
      <c r="N18" s="3">
        <v>1</v>
      </c>
      <c r="O18" s="3">
        <v>1</v>
      </c>
      <c r="Q18" s="13" t="s">
        <v>431</v>
      </c>
      <c r="R18" t="s">
        <v>138</v>
      </c>
      <c r="S18" t="s">
        <v>416</v>
      </c>
      <c r="T18" s="18" t="s">
        <v>476</v>
      </c>
    </row>
    <row r="19" spans="1:20" x14ac:dyDescent="0.2">
      <c r="A19" s="3" t="s">
        <v>293</v>
      </c>
      <c r="B19" t="s">
        <v>362</v>
      </c>
      <c r="C19" t="s">
        <v>387</v>
      </c>
      <c r="D19" t="s">
        <v>388</v>
      </c>
      <c r="E19" t="s">
        <v>365</v>
      </c>
      <c r="F19" t="s">
        <v>366</v>
      </c>
      <c r="G19" t="s">
        <v>188</v>
      </c>
      <c r="H19" t="s">
        <v>367</v>
      </c>
      <c r="K19" s="3">
        <v>2</v>
      </c>
      <c r="L19" s="3">
        <v>2</v>
      </c>
      <c r="M19" s="3" t="str">
        <f t="shared" si="0"/>
        <v>#8c7209</v>
      </c>
      <c r="N19" s="3">
        <v>1</v>
      </c>
      <c r="O19" s="3">
        <v>1</v>
      </c>
      <c r="Q19" s="13" t="s">
        <v>432</v>
      </c>
      <c r="R19" t="s">
        <v>139</v>
      </c>
      <c r="S19" t="s">
        <v>417</v>
      </c>
      <c r="T19" s="18" t="s">
        <v>474</v>
      </c>
    </row>
    <row r="20" spans="1:20" x14ac:dyDescent="0.2">
      <c r="A20" s="3" t="s">
        <v>294</v>
      </c>
      <c r="B20" t="s">
        <v>362</v>
      </c>
      <c r="C20" t="s">
        <v>387</v>
      </c>
      <c r="D20" t="s">
        <v>388</v>
      </c>
      <c r="E20" t="s">
        <v>365</v>
      </c>
      <c r="F20" t="s">
        <v>366</v>
      </c>
      <c r="G20" t="s">
        <v>188</v>
      </c>
      <c r="H20" t="s">
        <v>370</v>
      </c>
      <c r="K20" s="3">
        <v>2</v>
      </c>
      <c r="L20" s="3">
        <v>2</v>
      </c>
      <c r="M20" s="3" t="str">
        <f t="shared" si="0"/>
        <v>#8c7209</v>
      </c>
      <c r="N20" s="3">
        <v>1</v>
      </c>
      <c r="O20" s="3">
        <v>1</v>
      </c>
      <c r="Q20" s="13" t="s">
        <v>433</v>
      </c>
      <c r="R20" t="s">
        <v>140</v>
      </c>
      <c r="S20" t="s">
        <v>418</v>
      </c>
      <c r="T20" s="18" t="s">
        <v>463</v>
      </c>
    </row>
    <row r="21" spans="1:20" x14ac:dyDescent="0.2">
      <c r="A21" s="3" t="s">
        <v>344</v>
      </c>
      <c r="B21" t="s">
        <v>411</v>
      </c>
      <c r="C21" t="s">
        <v>387</v>
      </c>
      <c r="D21" t="s">
        <v>388</v>
      </c>
      <c r="E21" t="s">
        <v>365</v>
      </c>
      <c r="F21" t="s">
        <v>366</v>
      </c>
      <c r="G21" t="s">
        <v>412</v>
      </c>
      <c r="H21" t="s">
        <v>413</v>
      </c>
      <c r="I21" t="s">
        <v>367</v>
      </c>
      <c r="K21" s="3">
        <v>2</v>
      </c>
      <c r="L21" s="3">
        <v>2</v>
      </c>
      <c r="M21" s="3" t="str">
        <f t="shared" si="0"/>
        <v>#8c7209</v>
      </c>
      <c r="N21" s="3">
        <v>1</v>
      </c>
      <c r="O21" s="3">
        <v>1</v>
      </c>
      <c r="Q21" s="13" t="s">
        <v>434</v>
      </c>
      <c r="R21" t="s">
        <v>141</v>
      </c>
      <c r="S21" t="s">
        <v>417</v>
      </c>
      <c r="T21" s="18" t="s">
        <v>474</v>
      </c>
    </row>
    <row r="22" spans="1:20" x14ac:dyDescent="0.2">
      <c r="A22" s="3" t="s">
        <v>345</v>
      </c>
      <c r="B22" t="s">
        <v>411</v>
      </c>
      <c r="C22" t="s">
        <v>387</v>
      </c>
      <c r="D22" t="s">
        <v>388</v>
      </c>
      <c r="E22" t="s">
        <v>365</v>
      </c>
      <c r="F22" t="s">
        <v>366</v>
      </c>
      <c r="G22" t="s">
        <v>412</v>
      </c>
      <c r="H22" t="s">
        <v>413</v>
      </c>
      <c r="I22" t="s">
        <v>370</v>
      </c>
      <c r="K22" s="3">
        <v>2</v>
      </c>
      <c r="L22" s="3">
        <v>2</v>
      </c>
      <c r="M22" s="3" t="str">
        <f t="shared" si="0"/>
        <v>#8c7209</v>
      </c>
      <c r="N22" s="3">
        <v>1</v>
      </c>
      <c r="O22" s="3">
        <v>1</v>
      </c>
      <c r="Q22" s="13" t="s">
        <v>435</v>
      </c>
      <c r="R22" t="s">
        <v>142</v>
      </c>
      <c r="S22" t="s">
        <v>417</v>
      </c>
      <c r="T22" s="18" t="s">
        <v>474</v>
      </c>
    </row>
    <row r="23" spans="1:20" x14ac:dyDescent="0.2">
      <c r="A23" s="3" t="s">
        <v>306</v>
      </c>
      <c r="B23" t="s">
        <v>362</v>
      </c>
      <c r="C23" t="s">
        <v>401</v>
      </c>
      <c r="D23" t="s">
        <v>402</v>
      </c>
      <c r="E23" t="s">
        <v>365</v>
      </c>
      <c r="F23" t="s">
        <v>366</v>
      </c>
      <c r="G23" t="s">
        <v>188</v>
      </c>
      <c r="H23" t="s">
        <v>367</v>
      </c>
      <c r="K23" s="3">
        <v>2</v>
      </c>
      <c r="L23" s="3">
        <v>2</v>
      </c>
      <c r="M23" s="3" t="str">
        <f t="shared" si="0"/>
        <v>#8c7209</v>
      </c>
      <c r="N23" s="3">
        <v>1</v>
      </c>
      <c r="O23" s="3">
        <v>1</v>
      </c>
      <c r="Q23" s="13" t="s">
        <v>436</v>
      </c>
      <c r="R23" t="s">
        <v>143</v>
      </c>
      <c r="S23" t="s">
        <v>416</v>
      </c>
      <c r="T23" s="18" t="s">
        <v>476</v>
      </c>
    </row>
    <row r="24" spans="1:20" x14ac:dyDescent="0.2">
      <c r="A24" s="3" t="s">
        <v>343</v>
      </c>
      <c r="B24" t="s">
        <v>411</v>
      </c>
      <c r="C24" t="s">
        <v>401</v>
      </c>
      <c r="D24" t="s">
        <v>402</v>
      </c>
      <c r="E24" t="s">
        <v>365</v>
      </c>
      <c r="F24" t="s">
        <v>366</v>
      </c>
      <c r="G24" t="s">
        <v>412</v>
      </c>
      <c r="H24" t="s">
        <v>413</v>
      </c>
      <c r="I24" t="s">
        <v>367</v>
      </c>
      <c r="K24" s="3">
        <v>2</v>
      </c>
      <c r="L24" s="3">
        <v>2</v>
      </c>
      <c r="M24" s="3" t="str">
        <f t="shared" si="0"/>
        <v>#8c7209</v>
      </c>
      <c r="N24" s="3">
        <v>1</v>
      </c>
      <c r="O24" s="3">
        <v>1</v>
      </c>
      <c r="Q24" s="13" t="s">
        <v>437</v>
      </c>
      <c r="R24" t="s">
        <v>144</v>
      </c>
      <c r="S24" t="s">
        <v>417</v>
      </c>
      <c r="T24" s="18" t="s">
        <v>474</v>
      </c>
    </row>
    <row r="25" spans="1:20" x14ac:dyDescent="0.2">
      <c r="A25" s="3" t="s">
        <v>280</v>
      </c>
      <c r="B25" t="s">
        <v>362</v>
      </c>
      <c r="C25" t="s">
        <v>371</v>
      </c>
      <c r="D25" t="s">
        <v>372</v>
      </c>
      <c r="E25" t="s">
        <v>365</v>
      </c>
      <c r="F25" t="s">
        <v>366</v>
      </c>
      <c r="G25" t="s">
        <v>188</v>
      </c>
      <c r="H25" t="s">
        <v>367</v>
      </c>
      <c r="K25" s="3">
        <v>2</v>
      </c>
      <c r="L25" s="3">
        <v>2</v>
      </c>
      <c r="M25" s="3" t="str">
        <f t="shared" si="0"/>
        <v>#492359</v>
      </c>
      <c r="N25" s="3">
        <v>1</v>
      </c>
      <c r="O25" s="3">
        <v>1</v>
      </c>
      <c r="Q25" s="13" t="s">
        <v>438</v>
      </c>
      <c r="R25" t="s">
        <v>145</v>
      </c>
      <c r="S25" t="s">
        <v>418</v>
      </c>
      <c r="T25" s="18" t="s">
        <v>463</v>
      </c>
    </row>
    <row r="26" spans="1:20" x14ac:dyDescent="0.2">
      <c r="A26" s="3" t="s">
        <v>332</v>
      </c>
      <c r="B26" t="s">
        <v>411</v>
      </c>
      <c r="C26" t="s">
        <v>371</v>
      </c>
      <c r="D26" t="s">
        <v>372</v>
      </c>
      <c r="E26" t="s">
        <v>365</v>
      </c>
      <c r="F26" t="s">
        <v>366</v>
      </c>
      <c r="G26" t="s">
        <v>412</v>
      </c>
      <c r="H26" t="s">
        <v>413</v>
      </c>
      <c r="I26" t="s">
        <v>367</v>
      </c>
      <c r="K26" s="3">
        <v>2</v>
      </c>
      <c r="L26" s="3">
        <v>2</v>
      </c>
      <c r="M26" s="3" t="str">
        <f t="shared" si="0"/>
        <v>#492359</v>
      </c>
      <c r="N26" s="3">
        <v>1</v>
      </c>
      <c r="O26" s="3">
        <v>1</v>
      </c>
      <c r="Q26" s="13" t="s">
        <v>434</v>
      </c>
      <c r="R26" t="s">
        <v>146</v>
      </c>
      <c r="S26" t="s">
        <v>417</v>
      </c>
      <c r="T26" s="18" t="s">
        <v>474</v>
      </c>
    </row>
    <row r="27" spans="1:20" x14ac:dyDescent="0.2">
      <c r="A27" s="3" t="s">
        <v>288</v>
      </c>
      <c r="B27" t="s">
        <v>362</v>
      </c>
      <c r="C27" t="s">
        <v>380</v>
      </c>
      <c r="D27" t="s">
        <v>381</v>
      </c>
      <c r="E27" t="s">
        <v>365</v>
      </c>
      <c r="F27" t="s">
        <v>366</v>
      </c>
      <c r="G27" t="s">
        <v>188</v>
      </c>
      <c r="H27" t="s">
        <v>367</v>
      </c>
      <c r="K27" s="3">
        <v>2</v>
      </c>
      <c r="L27" s="3">
        <v>2</v>
      </c>
      <c r="M27" s="3" t="str">
        <f t="shared" si="0"/>
        <v>#784507</v>
      </c>
      <c r="N27" s="3">
        <v>1</v>
      </c>
      <c r="O27" s="3">
        <v>1</v>
      </c>
      <c r="Q27" s="13" t="s">
        <v>363</v>
      </c>
      <c r="R27" t="s">
        <v>147</v>
      </c>
      <c r="S27" t="s">
        <v>419</v>
      </c>
      <c r="T27" s="18" t="s">
        <v>461</v>
      </c>
    </row>
    <row r="28" spans="1:20" x14ac:dyDescent="0.2">
      <c r="A28" s="3" t="s">
        <v>289</v>
      </c>
      <c r="B28" t="s">
        <v>362</v>
      </c>
      <c r="C28" t="s">
        <v>380</v>
      </c>
      <c r="D28" t="s">
        <v>382</v>
      </c>
      <c r="E28" t="s">
        <v>365</v>
      </c>
      <c r="F28" t="s">
        <v>366</v>
      </c>
      <c r="G28" t="s">
        <v>188</v>
      </c>
      <c r="H28" t="s">
        <v>367</v>
      </c>
      <c r="K28" s="3">
        <v>2</v>
      </c>
      <c r="L28" s="3">
        <v>2</v>
      </c>
      <c r="M28" s="3" t="str">
        <f t="shared" si="0"/>
        <v>#784507</v>
      </c>
      <c r="N28" s="3">
        <v>1</v>
      </c>
      <c r="O28" s="3">
        <v>1</v>
      </c>
      <c r="Q28" s="13" t="s">
        <v>363</v>
      </c>
      <c r="R28" t="s">
        <v>148</v>
      </c>
      <c r="S28" t="s">
        <v>419</v>
      </c>
      <c r="T28" s="18" t="s">
        <v>461</v>
      </c>
    </row>
    <row r="29" spans="1:20" x14ac:dyDescent="0.2">
      <c r="A29" s="3" t="s">
        <v>327</v>
      </c>
      <c r="B29" t="s">
        <v>411</v>
      </c>
      <c r="C29" t="s">
        <v>380</v>
      </c>
      <c r="D29" t="s">
        <v>382</v>
      </c>
      <c r="E29" t="s">
        <v>365</v>
      </c>
      <c r="F29" t="s">
        <v>366</v>
      </c>
      <c r="G29" t="s">
        <v>412</v>
      </c>
      <c r="H29" t="s">
        <v>413</v>
      </c>
      <c r="I29" t="s">
        <v>367</v>
      </c>
      <c r="K29" s="3">
        <v>2</v>
      </c>
      <c r="L29" s="3">
        <v>2</v>
      </c>
      <c r="M29" s="3" t="str">
        <f t="shared" si="0"/>
        <v>#784507</v>
      </c>
      <c r="N29" s="3">
        <v>1</v>
      </c>
      <c r="O29" s="3">
        <v>1</v>
      </c>
      <c r="Q29" s="13" t="s">
        <v>439</v>
      </c>
      <c r="R29" t="s">
        <v>149</v>
      </c>
      <c r="S29" t="s">
        <v>417</v>
      </c>
      <c r="T29" s="18" t="s">
        <v>474</v>
      </c>
    </row>
    <row r="30" spans="1:20" x14ac:dyDescent="0.2">
      <c r="A30" s="3" t="s">
        <v>328</v>
      </c>
      <c r="B30" t="s">
        <v>411</v>
      </c>
      <c r="C30" t="s">
        <v>380</v>
      </c>
      <c r="D30" t="s">
        <v>381</v>
      </c>
      <c r="E30" t="s">
        <v>365</v>
      </c>
      <c r="F30" t="s">
        <v>366</v>
      </c>
      <c r="G30" t="s">
        <v>412</v>
      </c>
      <c r="H30" t="s">
        <v>413</v>
      </c>
      <c r="I30" t="s">
        <v>367</v>
      </c>
      <c r="K30" s="3">
        <v>2</v>
      </c>
      <c r="L30" s="3">
        <v>2</v>
      </c>
      <c r="M30" s="3" t="str">
        <f t="shared" si="0"/>
        <v>#784507</v>
      </c>
      <c r="N30" s="3">
        <v>1</v>
      </c>
      <c r="O30" s="3">
        <v>1</v>
      </c>
      <c r="Q30" s="13" t="s">
        <v>434</v>
      </c>
      <c r="R30" t="s">
        <v>150</v>
      </c>
      <c r="S30" t="s">
        <v>417</v>
      </c>
      <c r="T30" s="18" t="s">
        <v>474</v>
      </c>
    </row>
    <row r="31" spans="1:20" x14ac:dyDescent="0.2">
      <c r="A31" s="3" t="s">
        <v>291</v>
      </c>
      <c r="B31" t="s">
        <v>362</v>
      </c>
      <c r="C31" t="s">
        <v>385</v>
      </c>
      <c r="D31" t="s">
        <v>386</v>
      </c>
      <c r="E31" t="s">
        <v>365</v>
      </c>
      <c r="F31" t="s">
        <v>366</v>
      </c>
      <c r="G31" t="s">
        <v>188</v>
      </c>
      <c r="H31" t="s">
        <v>367</v>
      </c>
      <c r="K31" s="3">
        <v>2</v>
      </c>
      <c r="L31" s="3">
        <v>2</v>
      </c>
      <c r="M31" s="3" t="str">
        <f t="shared" si="0"/>
        <v>#3ac42d</v>
      </c>
      <c r="N31" s="3">
        <v>1</v>
      </c>
      <c r="O31" s="3">
        <v>1</v>
      </c>
      <c r="Q31" s="13" t="s">
        <v>440</v>
      </c>
      <c r="R31" t="s">
        <v>151</v>
      </c>
      <c r="S31" t="s">
        <v>420</v>
      </c>
      <c r="T31" s="18" t="s">
        <v>475</v>
      </c>
    </row>
    <row r="32" spans="1:20" x14ac:dyDescent="0.2">
      <c r="A32" s="3" t="s">
        <v>338</v>
      </c>
      <c r="B32" t="s">
        <v>411</v>
      </c>
      <c r="C32" t="s">
        <v>385</v>
      </c>
      <c r="D32" t="s">
        <v>386</v>
      </c>
      <c r="E32" t="s">
        <v>365</v>
      </c>
      <c r="F32" t="s">
        <v>366</v>
      </c>
      <c r="G32" t="s">
        <v>412</v>
      </c>
      <c r="H32" t="s">
        <v>413</v>
      </c>
      <c r="I32" t="s">
        <v>367</v>
      </c>
      <c r="K32" s="3">
        <v>2</v>
      </c>
      <c r="L32" s="3">
        <v>2</v>
      </c>
      <c r="M32" s="3" t="str">
        <f t="shared" si="0"/>
        <v>#3ac42d</v>
      </c>
      <c r="N32" s="3">
        <v>1</v>
      </c>
      <c r="O32" s="3">
        <v>1</v>
      </c>
      <c r="Q32" s="13" t="s">
        <v>434</v>
      </c>
      <c r="R32" t="s">
        <v>152</v>
      </c>
      <c r="S32" t="s">
        <v>417</v>
      </c>
      <c r="T32" s="18" t="s">
        <v>474</v>
      </c>
    </row>
    <row r="33" spans="1:20" x14ac:dyDescent="0.2">
      <c r="A33" s="3" t="s">
        <v>281</v>
      </c>
      <c r="B33" t="s">
        <v>362</v>
      </c>
      <c r="C33" t="s">
        <v>373</v>
      </c>
      <c r="D33" t="s">
        <v>374</v>
      </c>
      <c r="E33" t="s">
        <v>365</v>
      </c>
      <c r="F33" t="s">
        <v>366</v>
      </c>
      <c r="G33" t="s">
        <v>188</v>
      </c>
      <c r="H33" t="s">
        <v>367</v>
      </c>
      <c r="K33" s="3">
        <v>2</v>
      </c>
      <c r="L33" s="3">
        <v>2</v>
      </c>
      <c r="M33" s="3" t="str">
        <f t="shared" si="0"/>
        <v>#ad4498</v>
      </c>
      <c r="N33" s="3">
        <v>1</v>
      </c>
      <c r="O33" s="3">
        <v>1</v>
      </c>
      <c r="Q33" s="13" t="s">
        <v>441</v>
      </c>
      <c r="R33" t="s">
        <v>153</v>
      </c>
      <c r="S33" t="s">
        <v>421</v>
      </c>
      <c r="T33" s="18" t="s">
        <v>473</v>
      </c>
    </row>
    <row r="34" spans="1:20" x14ac:dyDescent="0.2">
      <c r="A34" s="3" t="s">
        <v>335</v>
      </c>
      <c r="B34" t="s">
        <v>411</v>
      </c>
      <c r="C34" t="s">
        <v>373</v>
      </c>
      <c r="D34" t="s">
        <v>374</v>
      </c>
      <c r="E34" t="s">
        <v>365</v>
      </c>
      <c r="F34" t="s">
        <v>366</v>
      </c>
      <c r="G34" t="s">
        <v>414</v>
      </c>
      <c r="H34" t="s">
        <v>415</v>
      </c>
      <c r="I34" t="s">
        <v>367</v>
      </c>
      <c r="K34" s="3">
        <v>2</v>
      </c>
      <c r="L34" s="3">
        <v>2</v>
      </c>
      <c r="M34" s="3" t="str">
        <f t="shared" si="0"/>
        <v>#ad4498</v>
      </c>
      <c r="N34" s="3">
        <v>1</v>
      </c>
      <c r="O34" s="3">
        <v>1</v>
      </c>
      <c r="Q34" s="13" t="s">
        <v>442</v>
      </c>
      <c r="R34" t="s">
        <v>154</v>
      </c>
      <c r="S34" t="s">
        <v>417</v>
      </c>
      <c r="T34" s="18" t="s">
        <v>474</v>
      </c>
    </row>
    <row r="35" spans="1:20" x14ac:dyDescent="0.2">
      <c r="A35" s="3" t="s">
        <v>315</v>
      </c>
      <c r="B35" t="s">
        <v>362</v>
      </c>
      <c r="C35" t="s">
        <v>409</v>
      </c>
      <c r="D35" t="s">
        <v>410</v>
      </c>
      <c r="E35" t="s">
        <v>365</v>
      </c>
      <c r="F35" t="s">
        <v>366</v>
      </c>
      <c r="G35" t="s">
        <v>188</v>
      </c>
      <c r="H35" t="s">
        <v>370</v>
      </c>
      <c r="K35" s="3">
        <v>2</v>
      </c>
      <c r="L35" s="3">
        <v>2</v>
      </c>
      <c r="M35" s="3" t="str">
        <f t="shared" si="0"/>
        <v>#8c7209</v>
      </c>
      <c r="N35" s="3">
        <v>1</v>
      </c>
      <c r="O35" s="3">
        <v>1</v>
      </c>
      <c r="Q35" s="13" t="s">
        <v>434</v>
      </c>
      <c r="R35" t="s">
        <v>155</v>
      </c>
      <c r="S35" t="s">
        <v>417</v>
      </c>
      <c r="T35" s="18" t="s">
        <v>474</v>
      </c>
    </row>
    <row r="36" spans="1:20" x14ac:dyDescent="0.2">
      <c r="A36" s="3" t="s">
        <v>357</v>
      </c>
      <c r="B36" t="s">
        <v>411</v>
      </c>
      <c r="C36" t="s">
        <v>409</v>
      </c>
      <c r="D36" t="s">
        <v>410</v>
      </c>
      <c r="E36" t="s">
        <v>365</v>
      </c>
      <c r="F36" t="s">
        <v>366</v>
      </c>
      <c r="G36" t="s">
        <v>412</v>
      </c>
      <c r="H36" t="s">
        <v>413</v>
      </c>
      <c r="I36" t="s">
        <v>370</v>
      </c>
      <c r="K36" s="3">
        <v>2</v>
      </c>
      <c r="L36" s="3">
        <v>2</v>
      </c>
      <c r="M36" s="3" t="str">
        <f t="shared" si="0"/>
        <v>#8c7209</v>
      </c>
      <c r="N36" s="3">
        <v>1</v>
      </c>
      <c r="O36" s="3">
        <v>1</v>
      </c>
      <c r="Q36" s="13" t="s">
        <v>443</v>
      </c>
      <c r="R36" t="s">
        <v>156</v>
      </c>
      <c r="S36" t="s">
        <v>418</v>
      </c>
      <c r="T36" s="18" t="s">
        <v>463</v>
      </c>
    </row>
    <row r="37" spans="1:20" x14ac:dyDescent="0.2">
      <c r="A37" s="3" t="s">
        <v>358</v>
      </c>
      <c r="B37" t="s">
        <v>411</v>
      </c>
      <c r="C37" t="s">
        <v>409</v>
      </c>
      <c r="D37" t="s">
        <v>410</v>
      </c>
      <c r="E37" t="s">
        <v>365</v>
      </c>
      <c r="F37" t="s">
        <v>366</v>
      </c>
      <c r="G37" t="s">
        <v>412</v>
      </c>
      <c r="H37" t="s">
        <v>413</v>
      </c>
      <c r="I37" t="s">
        <v>367</v>
      </c>
      <c r="K37" s="3">
        <v>2</v>
      </c>
      <c r="L37" s="3">
        <v>2</v>
      </c>
      <c r="M37" s="3" t="str">
        <f t="shared" si="0"/>
        <v>#8c7209</v>
      </c>
      <c r="N37" s="3">
        <v>1</v>
      </c>
      <c r="O37" s="3">
        <v>1</v>
      </c>
      <c r="Q37" s="13" t="s">
        <v>444</v>
      </c>
      <c r="R37" t="s">
        <v>157</v>
      </c>
      <c r="S37" t="s">
        <v>418</v>
      </c>
      <c r="T37" s="18" t="s">
        <v>463</v>
      </c>
    </row>
    <row r="38" spans="1:20" x14ac:dyDescent="0.2">
      <c r="A38" s="3" t="s">
        <v>301</v>
      </c>
      <c r="B38" t="s">
        <v>362</v>
      </c>
      <c r="C38" t="s">
        <v>395</v>
      </c>
      <c r="D38" t="s">
        <v>396</v>
      </c>
      <c r="E38" t="s">
        <v>365</v>
      </c>
      <c r="F38" t="s">
        <v>366</v>
      </c>
      <c r="G38" t="s">
        <v>188</v>
      </c>
      <c r="H38" t="s">
        <v>370</v>
      </c>
      <c r="K38" s="3">
        <v>2</v>
      </c>
      <c r="L38" s="3">
        <v>2</v>
      </c>
      <c r="M38" s="3" t="str">
        <f t="shared" si="0"/>
        <v>#8c7209</v>
      </c>
      <c r="N38" s="3">
        <v>1</v>
      </c>
      <c r="O38" s="3">
        <v>1</v>
      </c>
      <c r="Q38" s="13" t="s">
        <v>380</v>
      </c>
      <c r="R38" t="s">
        <v>172</v>
      </c>
      <c r="S38" t="s">
        <v>422</v>
      </c>
      <c r="T38" s="18" t="s">
        <v>460</v>
      </c>
    </row>
    <row r="39" spans="1:20" x14ac:dyDescent="0.2">
      <c r="A39" s="3" t="s">
        <v>302</v>
      </c>
      <c r="B39" t="s">
        <v>362</v>
      </c>
      <c r="C39" t="s">
        <v>395</v>
      </c>
      <c r="D39" t="s">
        <v>396</v>
      </c>
      <c r="E39" t="s">
        <v>365</v>
      </c>
      <c r="F39" t="s">
        <v>366</v>
      </c>
      <c r="G39" t="s">
        <v>188</v>
      </c>
      <c r="H39" t="s">
        <v>367</v>
      </c>
      <c r="K39" s="3">
        <v>2</v>
      </c>
      <c r="L39" s="3">
        <v>2</v>
      </c>
      <c r="M39" s="3" t="str">
        <f t="shared" si="0"/>
        <v>#8c7209</v>
      </c>
      <c r="N39" s="3">
        <v>1</v>
      </c>
      <c r="O39" s="3">
        <v>1</v>
      </c>
      <c r="Q39" s="13" t="s">
        <v>368</v>
      </c>
      <c r="R39" t="s">
        <v>173</v>
      </c>
      <c r="S39" t="s">
        <v>423</v>
      </c>
      <c r="T39" s="18" t="s">
        <v>465</v>
      </c>
    </row>
    <row r="40" spans="1:20" x14ac:dyDescent="0.2">
      <c r="A40" s="3" t="s">
        <v>340</v>
      </c>
      <c r="B40" t="s">
        <v>411</v>
      </c>
      <c r="C40" t="s">
        <v>395</v>
      </c>
      <c r="D40" t="s">
        <v>396</v>
      </c>
      <c r="E40" t="s">
        <v>365</v>
      </c>
      <c r="F40" t="s">
        <v>366</v>
      </c>
      <c r="G40" t="s">
        <v>412</v>
      </c>
      <c r="H40" t="s">
        <v>413</v>
      </c>
      <c r="I40" t="s">
        <v>370</v>
      </c>
      <c r="K40" s="3">
        <v>2</v>
      </c>
      <c r="L40" s="3">
        <v>2</v>
      </c>
      <c r="M40" s="3" t="str">
        <f t="shared" si="0"/>
        <v>#8c7209</v>
      </c>
      <c r="N40" s="3">
        <v>1</v>
      </c>
      <c r="O40" s="3">
        <v>1</v>
      </c>
      <c r="Q40" s="13" t="s">
        <v>390</v>
      </c>
      <c r="R40" t="s">
        <v>174</v>
      </c>
      <c r="S40" t="s">
        <v>424</v>
      </c>
      <c r="T40" s="18" t="s">
        <v>464</v>
      </c>
    </row>
    <row r="41" spans="1:20" x14ac:dyDescent="0.2">
      <c r="A41" s="3" t="s">
        <v>341</v>
      </c>
      <c r="B41" t="s">
        <v>411</v>
      </c>
      <c r="C41" t="s">
        <v>395</v>
      </c>
      <c r="D41" t="s">
        <v>396</v>
      </c>
      <c r="E41" t="s">
        <v>365</v>
      </c>
      <c r="F41" t="s">
        <v>366</v>
      </c>
      <c r="G41" t="s">
        <v>412</v>
      </c>
      <c r="H41" t="s">
        <v>413</v>
      </c>
      <c r="I41" t="s">
        <v>367</v>
      </c>
      <c r="K41" s="3">
        <v>2</v>
      </c>
      <c r="L41" s="3">
        <v>2</v>
      </c>
      <c r="M41" s="3" t="str">
        <f t="shared" si="0"/>
        <v>#8c7209</v>
      </c>
      <c r="N41" s="3">
        <v>1</v>
      </c>
      <c r="O41" s="3">
        <v>1</v>
      </c>
      <c r="Q41" s="13" t="s">
        <v>380</v>
      </c>
      <c r="R41" t="s">
        <v>175</v>
      </c>
      <c r="S41" t="s">
        <v>422</v>
      </c>
      <c r="T41" s="18" t="s">
        <v>460</v>
      </c>
    </row>
    <row r="42" spans="1:20" x14ac:dyDescent="0.2">
      <c r="A42" s="3" t="s">
        <v>342</v>
      </c>
      <c r="B42" t="s">
        <v>411</v>
      </c>
      <c r="C42" t="s">
        <v>395</v>
      </c>
      <c r="D42" t="s">
        <v>396</v>
      </c>
      <c r="E42" t="s">
        <v>365</v>
      </c>
      <c r="F42" t="s">
        <v>366</v>
      </c>
      <c r="G42" t="s">
        <v>412</v>
      </c>
      <c r="H42" t="s">
        <v>413</v>
      </c>
      <c r="I42" t="s">
        <v>389</v>
      </c>
      <c r="K42" s="3">
        <v>2</v>
      </c>
      <c r="L42" s="3">
        <v>2</v>
      </c>
      <c r="M42" s="3" t="str">
        <f t="shared" si="0"/>
        <v>#8c7209</v>
      </c>
      <c r="N42" s="3">
        <v>1</v>
      </c>
      <c r="O42" s="3">
        <v>1</v>
      </c>
      <c r="Q42" s="13" t="s">
        <v>371</v>
      </c>
      <c r="R42" t="s">
        <v>232</v>
      </c>
      <c r="S42" t="s">
        <v>425</v>
      </c>
      <c r="T42" s="18" t="s">
        <v>456</v>
      </c>
    </row>
    <row r="43" spans="1:20" x14ac:dyDescent="0.2">
      <c r="A43" s="3" t="s">
        <v>314</v>
      </c>
      <c r="B43" t="s">
        <v>362</v>
      </c>
      <c r="C43" t="s">
        <v>407</v>
      </c>
      <c r="D43" t="s">
        <v>408</v>
      </c>
      <c r="E43" t="s">
        <v>379</v>
      </c>
      <c r="F43" t="s">
        <v>408</v>
      </c>
      <c r="G43" t="s">
        <v>365</v>
      </c>
      <c r="H43" t="s">
        <v>366</v>
      </c>
      <c r="I43" t="s">
        <v>188</v>
      </c>
      <c r="J43" t="s">
        <v>367</v>
      </c>
      <c r="K43" s="3">
        <v>2</v>
      </c>
      <c r="L43" s="3">
        <v>2</v>
      </c>
      <c r="M43" s="3" t="str">
        <f t="shared" si="0"/>
        <v>#3ac42d</v>
      </c>
      <c r="N43" s="3">
        <v>1</v>
      </c>
      <c r="O43" s="3">
        <v>1</v>
      </c>
      <c r="Q43" s="13" t="s">
        <v>392</v>
      </c>
      <c r="R43" t="s">
        <v>233</v>
      </c>
      <c r="S43" t="s">
        <v>425</v>
      </c>
      <c r="T43" s="18" t="s">
        <v>456</v>
      </c>
    </row>
    <row r="44" spans="1:20" x14ac:dyDescent="0.2">
      <c r="A44" s="3" t="s">
        <v>336</v>
      </c>
      <c r="B44" t="s">
        <v>411</v>
      </c>
      <c r="C44" t="s">
        <v>407</v>
      </c>
      <c r="D44" t="s">
        <v>408</v>
      </c>
      <c r="E44" t="s">
        <v>379</v>
      </c>
      <c r="F44" t="s">
        <v>408</v>
      </c>
      <c r="G44" t="s">
        <v>365</v>
      </c>
      <c r="H44" t="s">
        <v>366</v>
      </c>
      <c r="I44" t="s">
        <v>414</v>
      </c>
      <c r="J44" t="s">
        <v>415</v>
      </c>
      <c r="K44" s="3">
        <v>2</v>
      </c>
      <c r="L44" s="3">
        <v>2</v>
      </c>
      <c r="M44" s="3" t="str">
        <f t="shared" si="0"/>
        <v>#3ac42d</v>
      </c>
      <c r="N44" s="3">
        <v>1</v>
      </c>
      <c r="O44" s="3">
        <v>1</v>
      </c>
      <c r="Q44" s="13" t="s">
        <v>383</v>
      </c>
      <c r="R44" t="s">
        <v>234</v>
      </c>
      <c r="S44" t="s">
        <v>425</v>
      </c>
      <c r="T44" s="18" t="s">
        <v>456</v>
      </c>
    </row>
    <row r="45" spans="1:20" x14ac:dyDescent="0.2">
      <c r="A45" s="3" t="s">
        <v>295</v>
      </c>
      <c r="B45" t="s">
        <v>362</v>
      </c>
      <c r="C45" t="s">
        <v>390</v>
      </c>
      <c r="D45" t="s">
        <v>391</v>
      </c>
      <c r="E45" t="s">
        <v>365</v>
      </c>
      <c r="F45" t="s">
        <v>366</v>
      </c>
      <c r="G45" t="s">
        <v>188</v>
      </c>
      <c r="H45" t="s">
        <v>370</v>
      </c>
      <c r="K45" s="3">
        <v>2</v>
      </c>
      <c r="L45" s="3">
        <v>2</v>
      </c>
      <c r="M45" s="3" t="str">
        <f t="shared" si="0"/>
        <v>#780d07</v>
      </c>
      <c r="N45" s="3">
        <v>1</v>
      </c>
      <c r="O45" s="3">
        <v>1</v>
      </c>
      <c r="Q45" s="13" t="s">
        <v>373</v>
      </c>
      <c r="R45" t="s">
        <v>235</v>
      </c>
      <c r="S45" t="s">
        <v>426</v>
      </c>
      <c r="T45" s="18" t="s">
        <v>458</v>
      </c>
    </row>
    <row r="46" spans="1:20" x14ac:dyDescent="0.2">
      <c r="A46" s="3" t="s">
        <v>296</v>
      </c>
      <c r="B46" t="s">
        <v>362</v>
      </c>
      <c r="C46" t="s">
        <v>390</v>
      </c>
      <c r="D46" t="s">
        <v>391</v>
      </c>
      <c r="E46" t="s">
        <v>365</v>
      </c>
      <c r="F46" t="s">
        <v>366</v>
      </c>
      <c r="G46" t="s">
        <v>188</v>
      </c>
      <c r="H46" t="s">
        <v>389</v>
      </c>
      <c r="K46" s="3">
        <v>2</v>
      </c>
      <c r="L46" s="3">
        <v>2</v>
      </c>
      <c r="M46" s="3" t="str">
        <f t="shared" si="0"/>
        <v>#780d07</v>
      </c>
      <c r="N46" s="3">
        <v>1</v>
      </c>
      <c r="O46" s="3">
        <v>1</v>
      </c>
      <c r="Q46" s="13" t="s">
        <v>445</v>
      </c>
      <c r="R46" t="s">
        <v>236</v>
      </c>
      <c r="S46" t="s">
        <v>427</v>
      </c>
      <c r="T46" s="18" t="s">
        <v>459</v>
      </c>
    </row>
    <row r="47" spans="1:20" x14ac:dyDescent="0.2">
      <c r="A47" s="3" t="s">
        <v>297</v>
      </c>
      <c r="B47" t="s">
        <v>362</v>
      </c>
      <c r="C47" t="s">
        <v>390</v>
      </c>
      <c r="D47" t="s">
        <v>391</v>
      </c>
      <c r="E47" t="s">
        <v>365</v>
      </c>
      <c r="F47" t="s">
        <v>366</v>
      </c>
      <c r="G47" t="s">
        <v>188</v>
      </c>
      <c r="H47" t="s">
        <v>367</v>
      </c>
      <c r="K47" s="3">
        <v>2</v>
      </c>
      <c r="L47" s="3">
        <v>2</v>
      </c>
      <c r="M47" s="3" t="str">
        <f t="shared" si="0"/>
        <v>#780d07</v>
      </c>
      <c r="N47" s="3">
        <v>1</v>
      </c>
      <c r="O47" s="3">
        <v>1</v>
      </c>
      <c r="Q47" s="13" t="s">
        <v>446</v>
      </c>
      <c r="R47" t="s">
        <v>237</v>
      </c>
      <c r="S47" t="s">
        <v>427</v>
      </c>
      <c r="T47" s="18" t="s">
        <v>459</v>
      </c>
    </row>
    <row r="48" spans="1:20" x14ac:dyDescent="0.2">
      <c r="A48" s="3" t="s">
        <v>329</v>
      </c>
      <c r="B48" t="s">
        <v>411</v>
      </c>
      <c r="C48" t="s">
        <v>390</v>
      </c>
      <c r="D48" t="s">
        <v>391</v>
      </c>
      <c r="E48" t="s">
        <v>365</v>
      </c>
      <c r="F48" t="s">
        <v>366</v>
      </c>
      <c r="G48" t="s">
        <v>414</v>
      </c>
      <c r="H48" t="s">
        <v>415</v>
      </c>
      <c r="I48" t="s">
        <v>389</v>
      </c>
      <c r="K48" s="3">
        <v>2</v>
      </c>
      <c r="L48" s="3">
        <v>2</v>
      </c>
      <c r="M48" s="3" t="str">
        <f t="shared" si="0"/>
        <v>#780d07</v>
      </c>
      <c r="N48" s="3">
        <v>1</v>
      </c>
      <c r="O48" s="3">
        <v>1</v>
      </c>
      <c r="Q48" s="13" t="s">
        <v>447</v>
      </c>
      <c r="R48" t="s">
        <v>238</v>
      </c>
      <c r="S48" t="s">
        <v>427</v>
      </c>
      <c r="T48" s="18" t="s">
        <v>459</v>
      </c>
    </row>
    <row r="49" spans="1:20" x14ac:dyDescent="0.2">
      <c r="A49" s="3" t="s">
        <v>330</v>
      </c>
      <c r="B49" t="s">
        <v>411</v>
      </c>
      <c r="C49" t="s">
        <v>390</v>
      </c>
      <c r="D49" t="s">
        <v>391</v>
      </c>
      <c r="E49" t="s">
        <v>365</v>
      </c>
      <c r="F49" t="s">
        <v>366</v>
      </c>
      <c r="G49" t="s">
        <v>412</v>
      </c>
      <c r="H49" t="s">
        <v>413</v>
      </c>
      <c r="I49" t="s">
        <v>370</v>
      </c>
      <c r="K49" s="3">
        <v>2</v>
      </c>
      <c r="L49" s="3">
        <v>2</v>
      </c>
      <c r="M49" s="3" t="str">
        <f t="shared" si="0"/>
        <v>#780d07</v>
      </c>
      <c r="N49" s="3">
        <v>1</v>
      </c>
      <c r="O49" s="3">
        <v>1</v>
      </c>
      <c r="Q49" s="13" t="s">
        <v>448</v>
      </c>
      <c r="R49" t="s">
        <v>239</v>
      </c>
      <c r="S49" t="s">
        <v>427</v>
      </c>
      <c r="T49" s="18" t="s">
        <v>459</v>
      </c>
    </row>
    <row r="50" spans="1:20" x14ac:dyDescent="0.2">
      <c r="A50" s="3" t="s">
        <v>331</v>
      </c>
      <c r="B50" t="s">
        <v>411</v>
      </c>
      <c r="C50" t="s">
        <v>390</v>
      </c>
      <c r="D50" t="s">
        <v>391</v>
      </c>
      <c r="E50" t="s">
        <v>365</v>
      </c>
      <c r="F50" t="s">
        <v>366</v>
      </c>
      <c r="G50" t="s">
        <v>412</v>
      </c>
      <c r="H50" t="s">
        <v>413</v>
      </c>
      <c r="I50" t="s">
        <v>367</v>
      </c>
      <c r="K50" s="3">
        <v>2</v>
      </c>
      <c r="L50" s="3">
        <v>2</v>
      </c>
      <c r="M50" s="3" t="str">
        <f t="shared" si="0"/>
        <v>#780d07</v>
      </c>
      <c r="N50" s="3">
        <v>1</v>
      </c>
      <c r="O50" s="3">
        <v>1</v>
      </c>
      <c r="Q50" s="13" t="s">
        <v>449</v>
      </c>
      <c r="R50" t="s">
        <v>240</v>
      </c>
      <c r="S50" t="s">
        <v>427</v>
      </c>
      <c r="T50" s="18" t="s">
        <v>459</v>
      </c>
    </row>
    <row r="51" spans="1:20" x14ac:dyDescent="0.2">
      <c r="A51" s="3" t="s">
        <v>282</v>
      </c>
      <c r="B51" t="s">
        <v>362</v>
      </c>
      <c r="C51" t="s">
        <v>375</v>
      </c>
      <c r="D51" t="s">
        <v>74</v>
      </c>
      <c r="E51" t="s">
        <v>365</v>
      </c>
      <c r="F51" t="s">
        <v>366</v>
      </c>
      <c r="G51" t="s">
        <v>188</v>
      </c>
      <c r="H51" t="s">
        <v>367</v>
      </c>
      <c r="K51" s="3">
        <v>2</v>
      </c>
      <c r="L51" s="3">
        <v>2</v>
      </c>
      <c r="M51" s="3" t="str">
        <f t="shared" si="0"/>
        <v>#8c7209</v>
      </c>
      <c r="N51" s="3">
        <v>1</v>
      </c>
      <c r="O51" s="3">
        <v>1</v>
      </c>
      <c r="Q51" s="13" t="s">
        <v>450</v>
      </c>
      <c r="R51" t="s">
        <v>241</v>
      </c>
      <c r="S51" t="s">
        <v>427</v>
      </c>
      <c r="T51" s="18" t="s">
        <v>459</v>
      </c>
    </row>
    <row r="52" spans="1:20" x14ac:dyDescent="0.2">
      <c r="A52" s="3" t="s">
        <v>339</v>
      </c>
      <c r="B52" t="s">
        <v>411</v>
      </c>
      <c r="C52" t="s">
        <v>375</v>
      </c>
      <c r="D52" t="s">
        <v>74</v>
      </c>
      <c r="E52" t="s">
        <v>365</v>
      </c>
      <c r="F52" t="s">
        <v>366</v>
      </c>
      <c r="G52" t="s">
        <v>412</v>
      </c>
      <c r="H52" t="s">
        <v>413</v>
      </c>
      <c r="I52" t="s">
        <v>367</v>
      </c>
      <c r="K52" s="3">
        <v>2</v>
      </c>
      <c r="L52" s="3">
        <v>2</v>
      </c>
      <c r="M52" s="3" t="str">
        <f t="shared" si="0"/>
        <v>#8c7209</v>
      </c>
      <c r="N52" s="3">
        <v>1</v>
      </c>
      <c r="O52" s="3">
        <v>1</v>
      </c>
      <c r="Q52" s="13" t="s">
        <v>451</v>
      </c>
      <c r="R52" t="s">
        <v>242</v>
      </c>
      <c r="S52" t="s">
        <v>427</v>
      </c>
      <c r="T52" s="18" t="s">
        <v>459</v>
      </c>
    </row>
    <row r="53" spans="1:20" x14ac:dyDescent="0.2">
      <c r="A53" s="3" t="s">
        <v>305</v>
      </c>
      <c r="B53" t="s">
        <v>362</v>
      </c>
      <c r="C53" t="s">
        <v>399</v>
      </c>
      <c r="D53" t="s">
        <v>400</v>
      </c>
      <c r="E53" t="s">
        <v>365</v>
      </c>
      <c r="F53" t="s">
        <v>366</v>
      </c>
      <c r="G53" t="s">
        <v>188</v>
      </c>
      <c r="H53" t="s">
        <v>367</v>
      </c>
      <c r="K53" s="3">
        <v>2</v>
      </c>
      <c r="L53" s="3">
        <v>2</v>
      </c>
      <c r="M53" s="3" t="str">
        <f t="shared" si="0"/>
        <v>#3ac42d</v>
      </c>
      <c r="N53" s="3">
        <v>1</v>
      </c>
      <c r="O53" s="3">
        <v>1</v>
      </c>
      <c r="Q53" s="13" t="s">
        <v>452</v>
      </c>
      <c r="R53" t="s">
        <v>243</v>
      </c>
      <c r="S53" t="s">
        <v>427</v>
      </c>
      <c r="T53" s="18" t="s">
        <v>459</v>
      </c>
    </row>
    <row r="54" spans="1:20" x14ac:dyDescent="0.2">
      <c r="A54" s="3" t="s">
        <v>337</v>
      </c>
      <c r="B54" t="s">
        <v>411</v>
      </c>
      <c r="C54" t="s">
        <v>399</v>
      </c>
      <c r="D54" t="s">
        <v>400</v>
      </c>
      <c r="E54" t="s">
        <v>365</v>
      </c>
      <c r="F54" t="s">
        <v>366</v>
      </c>
      <c r="G54" t="s">
        <v>414</v>
      </c>
      <c r="H54" t="s">
        <v>415</v>
      </c>
      <c r="I54" t="s">
        <v>367</v>
      </c>
      <c r="K54" s="3">
        <v>2</v>
      </c>
      <c r="L54" s="3">
        <v>2</v>
      </c>
      <c r="M54" s="3" t="str">
        <f t="shared" si="0"/>
        <v>#3ac42d</v>
      </c>
      <c r="N54" s="3">
        <v>1</v>
      </c>
      <c r="O54" s="3">
        <v>1</v>
      </c>
      <c r="Q54" s="13" t="s">
        <v>406</v>
      </c>
      <c r="R54" t="s">
        <v>244</v>
      </c>
      <c r="S54" t="s">
        <v>55</v>
      </c>
      <c r="T54" s="18" t="s">
        <v>466</v>
      </c>
    </row>
    <row r="55" spans="1:20" x14ac:dyDescent="0.2">
      <c r="A55" s="3" t="s">
        <v>278</v>
      </c>
      <c r="B55" t="s">
        <v>362</v>
      </c>
      <c r="C55" t="s">
        <v>368</v>
      </c>
      <c r="D55" t="s">
        <v>369</v>
      </c>
      <c r="E55" t="s">
        <v>365</v>
      </c>
      <c r="F55" t="s">
        <v>366</v>
      </c>
      <c r="G55" t="s">
        <v>188</v>
      </c>
      <c r="H55" t="s">
        <v>367</v>
      </c>
      <c r="K55" s="3">
        <v>2</v>
      </c>
      <c r="L55" s="3">
        <v>2</v>
      </c>
      <c r="M55" s="3" t="str">
        <f t="shared" si="0"/>
        <v>#c2150b</v>
      </c>
      <c r="N55" s="3">
        <v>1</v>
      </c>
      <c r="O55" s="3">
        <v>1</v>
      </c>
      <c r="Q55" s="13" t="s">
        <v>75</v>
      </c>
      <c r="R55" t="s">
        <v>245</v>
      </c>
      <c r="S55" t="s">
        <v>55</v>
      </c>
      <c r="T55" s="18" t="s">
        <v>466</v>
      </c>
    </row>
    <row r="56" spans="1:20" x14ac:dyDescent="0.2">
      <c r="A56" s="3" t="s">
        <v>279</v>
      </c>
      <c r="B56" t="s">
        <v>362</v>
      </c>
      <c r="C56" t="s">
        <v>368</v>
      </c>
      <c r="D56" t="s">
        <v>369</v>
      </c>
      <c r="E56" t="s">
        <v>365</v>
      </c>
      <c r="F56" t="s">
        <v>366</v>
      </c>
      <c r="G56" t="s">
        <v>188</v>
      </c>
      <c r="H56" t="s">
        <v>370</v>
      </c>
      <c r="K56" s="3">
        <v>2</v>
      </c>
      <c r="L56" s="3">
        <v>2</v>
      </c>
      <c r="M56" s="3" t="str">
        <f t="shared" si="0"/>
        <v>#c2150b</v>
      </c>
      <c r="N56" s="3">
        <v>1</v>
      </c>
      <c r="O56" s="3">
        <v>1</v>
      </c>
      <c r="Q56" s="13" t="s">
        <v>407</v>
      </c>
      <c r="R56" t="s">
        <v>246</v>
      </c>
      <c r="S56" t="s">
        <v>55</v>
      </c>
      <c r="T56" s="18" t="s">
        <v>466</v>
      </c>
    </row>
    <row r="57" spans="1:20" x14ac:dyDescent="0.2">
      <c r="A57" s="3" t="s">
        <v>323</v>
      </c>
      <c r="B57" t="s">
        <v>411</v>
      </c>
      <c r="C57" t="s">
        <v>368</v>
      </c>
      <c r="D57" t="s">
        <v>369</v>
      </c>
      <c r="E57" t="s">
        <v>365</v>
      </c>
      <c r="F57" t="s">
        <v>366</v>
      </c>
      <c r="G57" t="s">
        <v>412</v>
      </c>
      <c r="H57" t="s">
        <v>413</v>
      </c>
      <c r="I57" t="s">
        <v>370</v>
      </c>
      <c r="K57" s="3">
        <v>2</v>
      </c>
      <c r="L57" s="3">
        <v>2</v>
      </c>
      <c r="M57" s="3" t="str">
        <f t="shared" si="0"/>
        <v>#c2150b</v>
      </c>
      <c r="N57" s="3">
        <v>1</v>
      </c>
      <c r="O57" s="3">
        <v>1</v>
      </c>
      <c r="Q57" s="13" t="s">
        <v>399</v>
      </c>
      <c r="R57" t="s">
        <v>247</v>
      </c>
      <c r="S57" t="s">
        <v>55</v>
      </c>
      <c r="T57" s="18" t="s">
        <v>466</v>
      </c>
    </row>
    <row r="58" spans="1:20" x14ac:dyDescent="0.2">
      <c r="A58" s="3" t="s">
        <v>324</v>
      </c>
      <c r="B58" t="s">
        <v>411</v>
      </c>
      <c r="C58" t="s">
        <v>368</v>
      </c>
      <c r="D58" t="s">
        <v>369</v>
      </c>
      <c r="E58" t="s">
        <v>365</v>
      </c>
      <c r="F58" t="s">
        <v>366</v>
      </c>
      <c r="G58" t="s">
        <v>414</v>
      </c>
      <c r="H58" t="s">
        <v>415</v>
      </c>
      <c r="I58" t="s">
        <v>367</v>
      </c>
      <c r="K58" s="3">
        <v>2</v>
      </c>
      <c r="L58" s="3">
        <v>2</v>
      </c>
      <c r="M58" s="3" t="str">
        <f t="shared" si="0"/>
        <v>#c2150b</v>
      </c>
      <c r="N58" s="3">
        <v>1</v>
      </c>
      <c r="O58" s="3">
        <v>1</v>
      </c>
      <c r="Q58" s="13" t="s">
        <v>405</v>
      </c>
      <c r="R58" t="s">
        <v>248</v>
      </c>
      <c r="S58" t="s">
        <v>55</v>
      </c>
      <c r="T58" s="18" t="s">
        <v>466</v>
      </c>
    </row>
    <row r="59" spans="1:20" x14ac:dyDescent="0.2">
      <c r="A59" s="3" t="s">
        <v>277</v>
      </c>
      <c r="B59" t="s">
        <v>362</v>
      </c>
      <c r="C59" t="s">
        <v>363</v>
      </c>
      <c r="D59" t="s">
        <v>364</v>
      </c>
      <c r="E59" t="s">
        <v>365</v>
      </c>
      <c r="F59" t="s">
        <v>366</v>
      </c>
      <c r="G59" t="s">
        <v>188</v>
      </c>
      <c r="H59" t="s">
        <v>367</v>
      </c>
      <c r="K59" s="3">
        <v>2</v>
      </c>
      <c r="L59" s="3">
        <v>2</v>
      </c>
      <c r="M59" s="3" t="str">
        <f t="shared" si="0"/>
        <v>#d47a0d</v>
      </c>
      <c r="N59" s="3">
        <v>1</v>
      </c>
      <c r="O59" s="3">
        <v>1</v>
      </c>
      <c r="Q59" s="13" t="s">
        <v>394</v>
      </c>
      <c r="R59" t="s">
        <v>249</v>
      </c>
      <c r="S59" t="s">
        <v>55</v>
      </c>
      <c r="T59" s="18" t="s">
        <v>466</v>
      </c>
    </row>
    <row r="60" spans="1:20" x14ac:dyDescent="0.2">
      <c r="A60" s="3" t="s">
        <v>287</v>
      </c>
      <c r="B60" t="s">
        <v>362</v>
      </c>
      <c r="C60" t="s">
        <v>363</v>
      </c>
      <c r="D60" t="s">
        <v>378</v>
      </c>
      <c r="E60" t="s">
        <v>379</v>
      </c>
      <c r="F60" t="s">
        <v>378</v>
      </c>
      <c r="G60" t="s">
        <v>365</v>
      </c>
      <c r="H60" t="s">
        <v>366</v>
      </c>
      <c r="I60" t="s">
        <v>188</v>
      </c>
      <c r="J60" t="s">
        <v>367</v>
      </c>
      <c r="K60" s="3">
        <v>2</v>
      </c>
      <c r="L60" s="3">
        <v>2</v>
      </c>
      <c r="M60" s="3" t="str">
        <f t="shared" si="0"/>
        <v>#d47a0d</v>
      </c>
      <c r="N60" s="3">
        <v>1</v>
      </c>
      <c r="O60" s="3">
        <v>1</v>
      </c>
      <c r="Q60" s="13" t="s">
        <v>385</v>
      </c>
      <c r="R60" t="s">
        <v>250</v>
      </c>
      <c r="S60" t="s">
        <v>55</v>
      </c>
      <c r="T60" s="18" t="s">
        <v>466</v>
      </c>
    </row>
    <row r="61" spans="1:20" x14ac:dyDescent="0.2">
      <c r="A61" s="3" t="s">
        <v>319</v>
      </c>
      <c r="B61" t="s">
        <v>411</v>
      </c>
      <c r="C61" t="s">
        <v>363</v>
      </c>
      <c r="D61" t="s">
        <v>364</v>
      </c>
      <c r="E61" t="s">
        <v>365</v>
      </c>
      <c r="F61" t="s">
        <v>366</v>
      </c>
      <c r="G61" t="s">
        <v>412</v>
      </c>
      <c r="H61" t="s">
        <v>413</v>
      </c>
      <c r="I61" t="s">
        <v>367</v>
      </c>
      <c r="K61" s="3">
        <v>2</v>
      </c>
      <c r="L61" s="3">
        <v>2</v>
      </c>
      <c r="M61" s="3" t="str">
        <f t="shared" si="0"/>
        <v>#d47a0d</v>
      </c>
      <c r="N61" s="3">
        <v>1</v>
      </c>
      <c r="O61" s="3">
        <v>1</v>
      </c>
      <c r="Q61" s="13" t="s">
        <v>375</v>
      </c>
      <c r="R61" t="s">
        <v>267</v>
      </c>
      <c r="S61" t="s">
        <v>428</v>
      </c>
      <c r="T61" s="18" t="s">
        <v>462</v>
      </c>
    </row>
    <row r="62" spans="1:20" x14ac:dyDescent="0.2">
      <c r="A62" s="3" t="s">
        <v>322</v>
      </c>
      <c r="B62" t="s">
        <v>411</v>
      </c>
      <c r="C62" t="s">
        <v>363</v>
      </c>
      <c r="D62" t="s">
        <v>378</v>
      </c>
      <c r="E62" t="s">
        <v>379</v>
      </c>
      <c r="F62" t="s">
        <v>378</v>
      </c>
      <c r="G62" t="s">
        <v>365</v>
      </c>
      <c r="H62" t="s">
        <v>366</v>
      </c>
      <c r="I62" t="s">
        <v>412</v>
      </c>
      <c r="J62" t="s">
        <v>413</v>
      </c>
      <c r="K62" s="3">
        <v>2</v>
      </c>
      <c r="L62" s="3">
        <v>2</v>
      </c>
      <c r="M62" s="3" t="str">
        <f t="shared" si="0"/>
        <v>#d47a0d</v>
      </c>
      <c r="N62" s="3">
        <v>1</v>
      </c>
      <c r="O62" s="3">
        <v>1</v>
      </c>
      <c r="Q62" s="13" t="s">
        <v>395</v>
      </c>
      <c r="R62" t="s">
        <v>268</v>
      </c>
      <c r="S62" t="s">
        <v>428</v>
      </c>
      <c r="T62" s="18" t="s">
        <v>462</v>
      </c>
    </row>
    <row r="63" spans="1:20" x14ac:dyDescent="0.2">
      <c r="A63" s="3" t="s">
        <v>299</v>
      </c>
      <c r="B63" t="s">
        <v>362</v>
      </c>
      <c r="C63" t="s">
        <v>394</v>
      </c>
      <c r="D63" t="s">
        <v>377</v>
      </c>
      <c r="E63" t="s">
        <v>365</v>
      </c>
      <c r="F63" t="s">
        <v>366</v>
      </c>
      <c r="G63" t="s">
        <v>188</v>
      </c>
      <c r="H63" t="s">
        <v>370</v>
      </c>
      <c r="K63" s="3">
        <v>2</v>
      </c>
      <c r="L63" s="3">
        <v>2</v>
      </c>
      <c r="M63" s="3" t="str">
        <f t="shared" si="0"/>
        <v>#3ac42d</v>
      </c>
      <c r="N63" s="3">
        <v>1</v>
      </c>
      <c r="O63" s="3">
        <v>1</v>
      </c>
      <c r="Q63" s="13" t="s">
        <v>401</v>
      </c>
      <c r="R63" t="s">
        <v>269</v>
      </c>
      <c r="S63" t="s">
        <v>428</v>
      </c>
      <c r="T63" s="18" t="s">
        <v>462</v>
      </c>
    </row>
    <row r="64" spans="1:20" x14ac:dyDescent="0.2">
      <c r="A64" s="3" t="s">
        <v>300</v>
      </c>
      <c r="B64" t="s">
        <v>362</v>
      </c>
      <c r="C64" t="s">
        <v>394</v>
      </c>
      <c r="D64" t="s">
        <v>377</v>
      </c>
      <c r="E64" t="s">
        <v>365</v>
      </c>
      <c r="F64" t="s">
        <v>366</v>
      </c>
      <c r="G64" t="s">
        <v>188</v>
      </c>
      <c r="H64" t="s">
        <v>367</v>
      </c>
      <c r="K64" s="3">
        <v>2</v>
      </c>
      <c r="L64" s="3">
        <v>2</v>
      </c>
      <c r="M64" s="3" t="str">
        <f t="shared" si="0"/>
        <v>#3ac42d</v>
      </c>
      <c r="N64" s="3">
        <v>1</v>
      </c>
      <c r="O64" s="3">
        <v>1</v>
      </c>
      <c r="Q64" s="13" t="s">
        <v>409</v>
      </c>
      <c r="R64" t="s">
        <v>270</v>
      </c>
      <c r="S64" t="s">
        <v>428</v>
      </c>
      <c r="T64" s="18" t="s">
        <v>462</v>
      </c>
    </row>
    <row r="65" spans="1:20" x14ac:dyDescent="0.2">
      <c r="A65" s="3" t="s">
        <v>325</v>
      </c>
      <c r="B65" t="s">
        <v>411</v>
      </c>
      <c r="C65" t="s">
        <v>394</v>
      </c>
      <c r="D65" t="s">
        <v>377</v>
      </c>
      <c r="E65" t="s">
        <v>365</v>
      </c>
      <c r="F65" t="s">
        <v>366</v>
      </c>
      <c r="G65" t="s">
        <v>412</v>
      </c>
      <c r="H65" t="s">
        <v>413</v>
      </c>
      <c r="I65" t="s">
        <v>370</v>
      </c>
      <c r="K65" s="3">
        <v>2</v>
      </c>
      <c r="L65" s="3">
        <v>2</v>
      </c>
      <c r="M65" s="3" t="str">
        <f t="shared" si="0"/>
        <v>#3ac42d</v>
      </c>
      <c r="N65" s="3">
        <v>1</v>
      </c>
      <c r="O65" s="3">
        <v>1</v>
      </c>
      <c r="Q65" s="13" t="s">
        <v>387</v>
      </c>
      <c r="R65" t="s">
        <v>271</v>
      </c>
      <c r="S65" t="s">
        <v>428</v>
      </c>
      <c r="T65" s="18" t="s">
        <v>462</v>
      </c>
    </row>
    <row r="66" spans="1:20" x14ac:dyDescent="0.2">
      <c r="A66" s="3" t="s">
        <v>326</v>
      </c>
      <c r="B66" t="s">
        <v>411</v>
      </c>
      <c r="C66" t="s">
        <v>394</v>
      </c>
      <c r="D66" t="s">
        <v>377</v>
      </c>
      <c r="E66" t="s">
        <v>365</v>
      </c>
      <c r="F66" t="s">
        <v>366</v>
      </c>
      <c r="G66" t="s">
        <v>412</v>
      </c>
      <c r="H66" t="s">
        <v>413</v>
      </c>
      <c r="I66" t="s">
        <v>367</v>
      </c>
      <c r="K66" s="3">
        <v>2</v>
      </c>
      <c r="L66" s="3">
        <v>2</v>
      </c>
      <c r="M66" s="3" t="str">
        <f t="shared" si="0"/>
        <v>#3ac42d</v>
      </c>
      <c r="N66" s="3">
        <v>1</v>
      </c>
      <c r="O66" s="3">
        <v>1</v>
      </c>
      <c r="Q66" s="13" t="s">
        <v>376</v>
      </c>
      <c r="R66" t="s">
        <v>272</v>
      </c>
      <c r="S66" t="s">
        <v>428</v>
      </c>
      <c r="T66" s="18" t="s">
        <v>462</v>
      </c>
    </row>
    <row r="67" spans="1:20" x14ac:dyDescent="0.2">
      <c r="A67" s="3" t="s">
        <v>303</v>
      </c>
      <c r="B67" t="s">
        <v>362</v>
      </c>
      <c r="C67" t="s">
        <v>397</v>
      </c>
      <c r="D67" t="s">
        <v>398</v>
      </c>
      <c r="E67" t="s">
        <v>365</v>
      </c>
      <c r="F67" t="s">
        <v>366</v>
      </c>
      <c r="G67" t="s">
        <v>188</v>
      </c>
      <c r="H67" t="s">
        <v>367</v>
      </c>
      <c r="K67" s="3">
        <v>2</v>
      </c>
      <c r="L67" s="3">
        <v>2</v>
      </c>
      <c r="M67" s="3" t="str">
        <f t="shared" ref="M67:M86" si="1">VLOOKUP(C67,$Q$2:$T$70,4,FALSE)</f>
        <v>#8c7209</v>
      </c>
      <c r="N67" s="3">
        <v>1</v>
      </c>
      <c r="O67" s="3">
        <v>1</v>
      </c>
      <c r="Q67" s="13" t="s">
        <v>403</v>
      </c>
      <c r="R67" t="s">
        <v>273</v>
      </c>
      <c r="S67" t="s">
        <v>428</v>
      </c>
      <c r="T67" s="18" t="s">
        <v>462</v>
      </c>
    </row>
    <row r="68" spans="1:20" x14ac:dyDescent="0.2">
      <c r="A68" s="3" t="s">
        <v>304</v>
      </c>
      <c r="B68" t="s">
        <v>362</v>
      </c>
      <c r="C68" t="s">
        <v>397</v>
      </c>
      <c r="D68" t="s">
        <v>398</v>
      </c>
      <c r="E68" t="s">
        <v>365</v>
      </c>
      <c r="F68" t="s">
        <v>366</v>
      </c>
      <c r="G68" t="s">
        <v>188</v>
      </c>
      <c r="H68" t="s">
        <v>370</v>
      </c>
      <c r="K68" s="3">
        <v>2</v>
      </c>
      <c r="L68" s="3">
        <v>2</v>
      </c>
      <c r="M68" s="3" t="str">
        <f t="shared" si="1"/>
        <v>#8c7209</v>
      </c>
      <c r="N68" s="3">
        <v>1</v>
      </c>
      <c r="O68" s="3">
        <v>1</v>
      </c>
      <c r="Q68" s="13" t="s">
        <v>397</v>
      </c>
      <c r="R68" t="s">
        <v>274</v>
      </c>
      <c r="S68" t="s">
        <v>428</v>
      </c>
      <c r="T68" s="18" t="s">
        <v>462</v>
      </c>
    </row>
    <row r="69" spans="1:20" x14ac:dyDescent="0.2">
      <c r="A69" s="3" t="s">
        <v>348</v>
      </c>
      <c r="B69" t="s">
        <v>411</v>
      </c>
      <c r="C69" t="s">
        <v>397</v>
      </c>
      <c r="D69" t="s">
        <v>398</v>
      </c>
      <c r="E69" t="s">
        <v>365</v>
      </c>
      <c r="F69" t="s">
        <v>366</v>
      </c>
      <c r="G69" t="s">
        <v>412</v>
      </c>
      <c r="H69" t="s">
        <v>413</v>
      </c>
      <c r="I69" t="s">
        <v>370</v>
      </c>
      <c r="K69" s="3">
        <v>2</v>
      </c>
      <c r="L69" s="3">
        <v>2</v>
      </c>
      <c r="M69" s="3" t="str">
        <f t="shared" si="1"/>
        <v>#8c7209</v>
      </c>
      <c r="N69" s="3">
        <v>1</v>
      </c>
      <c r="O69" s="3">
        <v>1</v>
      </c>
      <c r="Q69" s="13" t="s">
        <v>469</v>
      </c>
      <c r="R69" t="s">
        <v>468</v>
      </c>
      <c r="S69" t="s">
        <v>55</v>
      </c>
      <c r="T69" s="18" t="s">
        <v>466</v>
      </c>
    </row>
    <row r="70" spans="1:20" x14ac:dyDescent="0.2">
      <c r="A70" s="3" t="s">
        <v>349</v>
      </c>
      <c r="B70" t="s">
        <v>411</v>
      </c>
      <c r="C70" t="s">
        <v>397</v>
      </c>
      <c r="D70" t="s">
        <v>398</v>
      </c>
      <c r="E70" t="s">
        <v>365</v>
      </c>
      <c r="F70" t="s">
        <v>366</v>
      </c>
      <c r="G70" t="s">
        <v>412</v>
      </c>
      <c r="H70" t="s">
        <v>413</v>
      </c>
      <c r="I70" t="s">
        <v>367</v>
      </c>
      <c r="K70" s="3">
        <v>2</v>
      </c>
      <c r="L70" s="3">
        <v>2</v>
      </c>
      <c r="M70" s="3" t="str">
        <f t="shared" si="1"/>
        <v>#8c7209</v>
      </c>
      <c r="N70" s="3">
        <v>1</v>
      </c>
      <c r="O70" s="3">
        <v>1</v>
      </c>
      <c r="Q70" s="19" t="s">
        <v>470</v>
      </c>
      <c r="R70" s="10" t="s">
        <v>467</v>
      </c>
      <c r="S70" s="10" t="s">
        <v>56</v>
      </c>
      <c r="T70" s="20" t="s">
        <v>457</v>
      </c>
    </row>
    <row r="71" spans="1:20" x14ac:dyDescent="0.2">
      <c r="A71" s="3" t="s">
        <v>307</v>
      </c>
      <c r="B71" t="s">
        <v>362</v>
      </c>
      <c r="C71" t="s">
        <v>403</v>
      </c>
      <c r="D71" t="s">
        <v>404</v>
      </c>
      <c r="E71" t="s">
        <v>365</v>
      </c>
      <c r="F71" t="s">
        <v>366</v>
      </c>
      <c r="G71" t="s">
        <v>188</v>
      </c>
      <c r="H71" t="s">
        <v>389</v>
      </c>
      <c r="K71" s="3">
        <v>2</v>
      </c>
      <c r="L71" s="3">
        <v>2</v>
      </c>
      <c r="M71" s="3" t="str">
        <f t="shared" si="1"/>
        <v>#8c7209</v>
      </c>
      <c r="N71" s="3">
        <v>1</v>
      </c>
      <c r="O71" s="3">
        <v>1</v>
      </c>
    </row>
    <row r="72" spans="1:20" x14ac:dyDescent="0.2">
      <c r="A72" s="3" t="s">
        <v>308</v>
      </c>
      <c r="B72" t="s">
        <v>362</v>
      </c>
      <c r="C72" t="s">
        <v>403</v>
      </c>
      <c r="D72" t="s">
        <v>404</v>
      </c>
      <c r="E72" t="s">
        <v>365</v>
      </c>
      <c r="F72" t="s">
        <v>366</v>
      </c>
      <c r="G72" t="s">
        <v>188</v>
      </c>
      <c r="H72" t="s">
        <v>367</v>
      </c>
      <c r="K72" s="3">
        <v>2</v>
      </c>
      <c r="L72" s="3">
        <v>2</v>
      </c>
      <c r="M72" s="3" t="str">
        <f t="shared" si="1"/>
        <v>#8c7209</v>
      </c>
      <c r="N72" s="3">
        <v>1</v>
      </c>
      <c r="O72" s="3">
        <v>1</v>
      </c>
    </row>
    <row r="73" spans="1:20" x14ac:dyDescent="0.2">
      <c r="A73" s="3" t="s">
        <v>309</v>
      </c>
      <c r="B73" t="s">
        <v>362</v>
      </c>
      <c r="C73" t="s">
        <v>403</v>
      </c>
      <c r="D73" t="s">
        <v>404</v>
      </c>
      <c r="E73" t="s">
        <v>365</v>
      </c>
      <c r="F73" t="s">
        <v>366</v>
      </c>
      <c r="G73" t="s">
        <v>188</v>
      </c>
      <c r="H73" t="s">
        <v>370</v>
      </c>
      <c r="K73" s="3">
        <v>2</v>
      </c>
      <c r="L73" s="3">
        <v>2</v>
      </c>
      <c r="M73" s="3" t="str">
        <f t="shared" si="1"/>
        <v>#8c7209</v>
      </c>
      <c r="N73" s="3">
        <v>1</v>
      </c>
      <c r="O73" s="3">
        <v>1</v>
      </c>
    </row>
    <row r="74" spans="1:20" x14ac:dyDescent="0.2">
      <c r="A74" s="3" t="s">
        <v>351</v>
      </c>
      <c r="B74" t="s">
        <v>411</v>
      </c>
      <c r="C74" t="s">
        <v>403</v>
      </c>
      <c r="D74" t="s">
        <v>404</v>
      </c>
      <c r="E74" t="s">
        <v>365</v>
      </c>
      <c r="F74" t="s">
        <v>366</v>
      </c>
      <c r="G74" t="s">
        <v>412</v>
      </c>
      <c r="H74" t="s">
        <v>413</v>
      </c>
      <c r="I74" t="s">
        <v>389</v>
      </c>
      <c r="K74" s="3">
        <v>2</v>
      </c>
      <c r="L74" s="3">
        <v>2</v>
      </c>
      <c r="M74" s="3" t="str">
        <f t="shared" si="1"/>
        <v>#8c7209</v>
      </c>
      <c r="N74" s="3">
        <v>1</v>
      </c>
      <c r="O74" s="3">
        <v>1</v>
      </c>
    </row>
    <row r="75" spans="1:20" x14ac:dyDescent="0.2">
      <c r="A75" s="3" t="s">
        <v>352</v>
      </c>
      <c r="B75" t="s">
        <v>411</v>
      </c>
      <c r="C75" t="s">
        <v>403</v>
      </c>
      <c r="D75" t="s">
        <v>404</v>
      </c>
      <c r="E75" t="s">
        <v>365</v>
      </c>
      <c r="F75" t="s">
        <v>366</v>
      </c>
      <c r="G75" t="s">
        <v>412</v>
      </c>
      <c r="H75" t="s">
        <v>413</v>
      </c>
      <c r="I75" t="s">
        <v>367</v>
      </c>
      <c r="K75" s="3">
        <v>2</v>
      </c>
      <c r="L75" s="3">
        <v>2</v>
      </c>
      <c r="M75" s="3" t="str">
        <f t="shared" si="1"/>
        <v>#8c7209</v>
      </c>
      <c r="N75" s="3">
        <v>1</v>
      </c>
      <c r="O75" s="3">
        <v>1</v>
      </c>
    </row>
    <row r="76" spans="1:20" x14ac:dyDescent="0.2">
      <c r="A76" s="3" t="s">
        <v>353</v>
      </c>
      <c r="B76" t="s">
        <v>411</v>
      </c>
      <c r="C76" t="s">
        <v>403</v>
      </c>
      <c r="D76" t="s">
        <v>404</v>
      </c>
      <c r="E76" t="s">
        <v>365</v>
      </c>
      <c r="F76" t="s">
        <v>366</v>
      </c>
      <c r="G76" t="s">
        <v>412</v>
      </c>
      <c r="H76" t="s">
        <v>413</v>
      </c>
      <c r="I76" t="s">
        <v>370</v>
      </c>
      <c r="K76" s="3">
        <v>2</v>
      </c>
      <c r="L76" s="3">
        <v>2</v>
      </c>
      <c r="M76" s="3" t="str">
        <f t="shared" si="1"/>
        <v>#8c7209</v>
      </c>
      <c r="N76" s="3">
        <v>1</v>
      </c>
      <c r="O76" s="3">
        <v>1</v>
      </c>
    </row>
    <row r="77" spans="1:20" x14ac:dyDescent="0.2">
      <c r="A77" s="3" t="s">
        <v>290</v>
      </c>
      <c r="B77" t="s">
        <v>362</v>
      </c>
      <c r="C77" t="s">
        <v>383</v>
      </c>
      <c r="D77" t="s">
        <v>384</v>
      </c>
      <c r="E77" t="s">
        <v>365</v>
      </c>
      <c r="F77" t="s">
        <v>366</v>
      </c>
      <c r="G77" t="s">
        <v>188</v>
      </c>
      <c r="H77" t="s">
        <v>367</v>
      </c>
      <c r="K77" s="3">
        <v>2</v>
      </c>
      <c r="L77" s="3">
        <v>2</v>
      </c>
      <c r="M77" s="3" t="str">
        <f>VLOOKUP(C77,$Q$2:$T$70,4,FALSE)</f>
        <v>#492359</v>
      </c>
      <c r="N77" s="3">
        <v>1</v>
      </c>
      <c r="O77" s="3">
        <v>1</v>
      </c>
    </row>
    <row r="78" spans="1:20" x14ac:dyDescent="0.2">
      <c r="A78" s="3" t="s">
        <v>334</v>
      </c>
      <c r="B78" t="s">
        <v>411</v>
      </c>
      <c r="C78" t="s">
        <v>383</v>
      </c>
      <c r="D78" t="s">
        <v>384</v>
      </c>
      <c r="E78" t="s">
        <v>365</v>
      </c>
      <c r="F78" t="s">
        <v>366</v>
      </c>
      <c r="G78" t="s">
        <v>412</v>
      </c>
      <c r="H78" t="s">
        <v>413</v>
      </c>
      <c r="I78" t="s">
        <v>367</v>
      </c>
      <c r="K78" s="3">
        <v>2</v>
      </c>
      <c r="L78" s="3">
        <v>2</v>
      </c>
      <c r="M78" s="3" t="str">
        <f t="shared" si="1"/>
        <v>#492359</v>
      </c>
      <c r="N78" s="3">
        <v>1</v>
      </c>
      <c r="O78" s="3">
        <v>1</v>
      </c>
    </row>
    <row r="79" spans="1:20" x14ac:dyDescent="0.2">
      <c r="A79" s="3" t="s">
        <v>316</v>
      </c>
      <c r="B79" t="s">
        <v>362</v>
      </c>
      <c r="C79" t="s">
        <v>75</v>
      </c>
      <c r="D79" t="s">
        <v>76</v>
      </c>
      <c r="E79" t="s">
        <v>365</v>
      </c>
      <c r="F79" t="s">
        <v>366</v>
      </c>
      <c r="G79" t="s">
        <v>188</v>
      </c>
      <c r="H79" t="s">
        <v>389</v>
      </c>
      <c r="K79" s="3">
        <v>2</v>
      </c>
      <c r="L79" s="3">
        <v>2</v>
      </c>
      <c r="M79" s="3" t="str">
        <f t="shared" si="1"/>
        <v>#3ac42d</v>
      </c>
      <c r="N79" s="3">
        <v>1</v>
      </c>
      <c r="O79" s="3">
        <v>1</v>
      </c>
    </row>
    <row r="80" spans="1:20" x14ac:dyDescent="0.2">
      <c r="A80" s="3" t="s">
        <v>317</v>
      </c>
      <c r="B80" t="s">
        <v>362</v>
      </c>
      <c r="C80" t="s">
        <v>75</v>
      </c>
      <c r="D80" t="s">
        <v>76</v>
      </c>
      <c r="E80" t="s">
        <v>365</v>
      </c>
      <c r="F80" t="s">
        <v>366</v>
      </c>
      <c r="G80" t="s">
        <v>188</v>
      </c>
      <c r="H80" t="s">
        <v>370</v>
      </c>
      <c r="K80" s="3">
        <v>2</v>
      </c>
      <c r="L80" s="3">
        <v>2</v>
      </c>
      <c r="M80" s="3" t="str">
        <f t="shared" si="1"/>
        <v>#3ac42d</v>
      </c>
      <c r="N80" s="3">
        <v>1</v>
      </c>
      <c r="O80" s="3">
        <v>1</v>
      </c>
    </row>
    <row r="81" spans="1:15" x14ac:dyDescent="0.2">
      <c r="A81" s="3" t="s">
        <v>318</v>
      </c>
      <c r="B81" t="s">
        <v>362</v>
      </c>
      <c r="C81" t="s">
        <v>75</v>
      </c>
      <c r="D81" t="s">
        <v>76</v>
      </c>
      <c r="E81" t="s">
        <v>365</v>
      </c>
      <c r="F81" t="s">
        <v>366</v>
      </c>
      <c r="G81" t="s">
        <v>188</v>
      </c>
      <c r="H81" t="s">
        <v>367</v>
      </c>
      <c r="K81" s="3">
        <v>2</v>
      </c>
      <c r="L81" s="3">
        <v>2</v>
      </c>
      <c r="M81" s="3" t="str">
        <f t="shared" si="1"/>
        <v>#3ac42d</v>
      </c>
      <c r="N81" s="3">
        <v>1</v>
      </c>
      <c r="O81" s="3">
        <v>1</v>
      </c>
    </row>
    <row r="82" spans="1:15" x14ac:dyDescent="0.2">
      <c r="A82" s="3" t="s">
        <v>359</v>
      </c>
      <c r="B82" t="s">
        <v>411</v>
      </c>
      <c r="C82" t="s">
        <v>75</v>
      </c>
      <c r="D82" t="s">
        <v>76</v>
      </c>
      <c r="E82" t="s">
        <v>365</v>
      </c>
      <c r="F82" t="s">
        <v>366</v>
      </c>
      <c r="G82" t="s">
        <v>414</v>
      </c>
      <c r="H82" t="s">
        <v>415</v>
      </c>
      <c r="I82" t="s">
        <v>367</v>
      </c>
      <c r="K82" s="3">
        <v>2</v>
      </c>
      <c r="L82" s="3">
        <v>2</v>
      </c>
      <c r="M82" s="3" t="str">
        <f t="shared" si="1"/>
        <v>#3ac42d</v>
      </c>
      <c r="N82" s="3">
        <v>1</v>
      </c>
      <c r="O82" s="3">
        <v>1</v>
      </c>
    </row>
    <row r="83" spans="1:15" x14ac:dyDescent="0.2">
      <c r="A83" s="3" t="s">
        <v>360</v>
      </c>
      <c r="B83" t="s">
        <v>411</v>
      </c>
      <c r="C83" t="s">
        <v>75</v>
      </c>
      <c r="D83" t="s">
        <v>76</v>
      </c>
      <c r="E83" t="s">
        <v>365</v>
      </c>
      <c r="F83" t="s">
        <v>366</v>
      </c>
      <c r="G83" t="s">
        <v>414</v>
      </c>
      <c r="H83" t="s">
        <v>415</v>
      </c>
      <c r="I83" t="s">
        <v>370</v>
      </c>
      <c r="K83" s="3">
        <v>2</v>
      </c>
      <c r="L83" s="3">
        <v>2</v>
      </c>
      <c r="M83" s="3" t="str">
        <f t="shared" si="1"/>
        <v>#3ac42d</v>
      </c>
      <c r="N83" s="3">
        <v>1</v>
      </c>
      <c r="O83" s="3">
        <v>1</v>
      </c>
    </row>
    <row r="84" spans="1:15" x14ac:dyDescent="0.2">
      <c r="A84" s="3" t="s">
        <v>361</v>
      </c>
      <c r="B84" t="s">
        <v>411</v>
      </c>
      <c r="C84" t="s">
        <v>75</v>
      </c>
      <c r="D84" t="s">
        <v>76</v>
      </c>
      <c r="E84" t="s">
        <v>365</v>
      </c>
      <c r="F84" t="s">
        <v>366</v>
      </c>
      <c r="G84" t="s">
        <v>414</v>
      </c>
      <c r="H84" t="s">
        <v>415</v>
      </c>
      <c r="I84" t="s">
        <v>389</v>
      </c>
      <c r="K84" s="3">
        <v>2</v>
      </c>
      <c r="L84" s="3">
        <v>2</v>
      </c>
      <c r="M84" s="3" t="str">
        <f t="shared" si="1"/>
        <v>#3ac42d</v>
      </c>
      <c r="N84" s="3">
        <v>1</v>
      </c>
      <c r="O84" s="3">
        <v>1</v>
      </c>
    </row>
    <row r="85" spans="1:15" x14ac:dyDescent="0.2">
      <c r="A85" s="3" t="s">
        <v>286</v>
      </c>
      <c r="B85" t="s">
        <v>362</v>
      </c>
      <c r="C85" t="s">
        <v>79</v>
      </c>
      <c r="D85" t="s">
        <v>73</v>
      </c>
      <c r="E85" t="s">
        <v>365</v>
      </c>
      <c r="F85" t="s">
        <v>366</v>
      </c>
      <c r="G85" t="s">
        <v>188</v>
      </c>
      <c r="H85" t="s">
        <v>367</v>
      </c>
      <c r="K85" s="3">
        <v>2</v>
      </c>
      <c r="L85" s="3">
        <v>2</v>
      </c>
      <c r="M85" s="3" t="str">
        <f t="shared" si="1"/>
        <v>#1e8449</v>
      </c>
      <c r="N85" s="3">
        <v>1</v>
      </c>
      <c r="O85" s="3">
        <v>1</v>
      </c>
    </row>
    <row r="86" spans="1:15" x14ac:dyDescent="0.2">
      <c r="A86" s="3" t="s">
        <v>320</v>
      </c>
      <c r="B86" t="s">
        <v>411</v>
      </c>
      <c r="C86" t="s">
        <v>79</v>
      </c>
      <c r="D86" t="s">
        <v>73</v>
      </c>
      <c r="E86" t="s">
        <v>365</v>
      </c>
      <c r="F86" t="s">
        <v>366</v>
      </c>
      <c r="G86" t="s">
        <v>412</v>
      </c>
      <c r="H86" t="s">
        <v>413</v>
      </c>
      <c r="I86" t="s">
        <v>367</v>
      </c>
      <c r="K86" s="3">
        <v>2</v>
      </c>
      <c r="L86" s="3">
        <v>2</v>
      </c>
      <c r="M86" s="3" t="str">
        <f t="shared" si="1"/>
        <v>#1e8449</v>
      </c>
      <c r="N86" s="3">
        <v>1</v>
      </c>
      <c r="O86" s="3">
        <v>1</v>
      </c>
    </row>
  </sheetData>
  <sortState xmlns:xlrd2="http://schemas.microsoft.com/office/spreadsheetml/2017/richdata2" ref="A2:J86">
    <sortCondition ref="C2:C8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55BE-3000-B148-AE0D-1A9D0261887D}">
  <dimension ref="A1:T73"/>
  <sheetViews>
    <sheetView workbookViewId="0">
      <selection activeCell="K1" sqref="K1:O1048576"/>
    </sheetView>
  </sheetViews>
  <sheetFormatPr baseColWidth="10" defaultRowHeight="16" x14ac:dyDescent="0.2"/>
  <cols>
    <col min="1" max="1" width="78.83203125" style="3" bestFit="1" customWidth="1"/>
    <col min="2" max="2" width="8.6640625" customWidth="1"/>
    <col min="11" max="12" width="10.83203125" style="3"/>
    <col min="13" max="13" width="13.83203125" style="3" bestFit="1" customWidth="1"/>
    <col min="14" max="15" width="10.83203125" style="3"/>
    <col min="17" max="17" width="18.1640625" bestFit="1" customWidth="1"/>
    <col min="18" max="18" width="33" bestFit="1" customWidth="1"/>
    <col min="19" max="19" width="14.33203125" bestFit="1" customWidth="1"/>
  </cols>
  <sheetData>
    <row r="1" spans="1:20" x14ac:dyDescent="0.2">
      <c r="M1" s="3" t="s">
        <v>430</v>
      </c>
      <c r="Q1" s="15" t="s">
        <v>453</v>
      </c>
      <c r="R1" s="16" t="s">
        <v>85</v>
      </c>
      <c r="S1" s="16" t="s">
        <v>86</v>
      </c>
      <c r="T1" s="17" t="s">
        <v>429</v>
      </c>
    </row>
    <row r="2" spans="1:20" x14ac:dyDescent="0.2">
      <c r="A2" s="3" t="s">
        <v>481</v>
      </c>
      <c r="B2" t="s">
        <v>362</v>
      </c>
      <c r="C2" t="s">
        <v>363</v>
      </c>
      <c r="D2" t="s">
        <v>364</v>
      </c>
      <c r="E2" t="s">
        <v>365</v>
      </c>
      <c r="F2" t="s">
        <v>366</v>
      </c>
      <c r="G2" t="s">
        <v>186</v>
      </c>
      <c r="H2" t="s">
        <v>370</v>
      </c>
      <c r="K2" s="3">
        <v>2</v>
      </c>
      <c r="L2" s="3">
        <v>2</v>
      </c>
      <c r="M2" s="3" t="str">
        <f>VLOOKUP(C2,$Q$2:$T$70,4,FALSE)</f>
        <v>#d47a0d</v>
      </c>
      <c r="N2" s="3">
        <v>1</v>
      </c>
      <c r="O2" s="3">
        <v>1</v>
      </c>
      <c r="Q2" s="13" t="s">
        <v>77</v>
      </c>
      <c r="R2" t="s">
        <v>33</v>
      </c>
      <c r="S2" t="s">
        <v>52</v>
      </c>
      <c r="T2" s="18" t="s">
        <v>454</v>
      </c>
    </row>
    <row r="3" spans="1:20" x14ac:dyDescent="0.2">
      <c r="A3" s="3" t="s">
        <v>482</v>
      </c>
      <c r="B3" t="s">
        <v>362</v>
      </c>
      <c r="C3" t="s">
        <v>363</v>
      </c>
      <c r="D3" t="s">
        <v>364</v>
      </c>
      <c r="E3" t="s">
        <v>365</v>
      </c>
      <c r="F3" t="s">
        <v>366</v>
      </c>
      <c r="G3" t="s">
        <v>186</v>
      </c>
      <c r="H3" t="s">
        <v>367</v>
      </c>
      <c r="K3" s="3">
        <v>2</v>
      </c>
      <c r="L3" s="3">
        <v>2</v>
      </c>
      <c r="M3" s="3" t="str">
        <f t="shared" ref="M3:M66" si="0">VLOOKUP(C3,$Q$2:$T$70,4,FALSE)</f>
        <v>#d47a0d</v>
      </c>
      <c r="N3" s="3">
        <v>1</v>
      </c>
      <c r="O3" s="3">
        <v>1</v>
      </c>
      <c r="Q3" s="13" t="s">
        <v>78</v>
      </c>
      <c r="R3" t="s">
        <v>34</v>
      </c>
      <c r="S3" t="s">
        <v>54</v>
      </c>
      <c r="T3" s="18" t="s">
        <v>472</v>
      </c>
    </row>
    <row r="4" spans="1:20" x14ac:dyDescent="0.2">
      <c r="A4" s="3" t="s">
        <v>483</v>
      </c>
      <c r="B4" t="s">
        <v>362</v>
      </c>
      <c r="C4" t="s">
        <v>368</v>
      </c>
      <c r="D4" t="s">
        <v>369</v>
      </c>
      <c r="E4" t="s">
        <v>365</v>
      </c>
      <c r="F4" t="s">
        <v>366</v>
      </c>
      <c r="G4" t="s">
        <v>186</v>
      </c>
      <c r="H4" t="s">
        <v>367</v>
      </c>
      <c r="K4" s="3">
        <v>2</v>
      </c>
      <c r="L4" s="3">
        <v>2</v>
      </c>
      <c r="M4" s="3" t="str">
        <f t="shared" si="0"/>
        <v>#c2150b</v>
      </c>
      <c r="N4" s="3">
        <v>1</v>
      </c>
      <c r="O4" s="3">
        <v>1</v>
      </c>
      <c r="Q4" s="13" t="s">
        <v>79</v>
      </c>
      <c r="R4" t="s">
        <v>35</v>
      </c>
      <c r="S4" t="s">
        <v>53</v>
      </c>
      <c r="T4" s="18" t="s">
        <v>455</v>
      </c>
    </row>
    <row r="5" spans="1:20" x14ac:dyDescent="0.2">
      <c r="A5" s="3" t="s">
        <v>484</v>
      </c>
      <c r="B5" t="s">
        <v>362</v>
      </c>
      <c r="C5" t="s">
        <v>371</v>
      </c>
      <c r="D5" t="s">
        <v>372</v>
      </c>
      <c r="E5" t="s">
        <v>365</v>
      </c>
      <c r="F5" t="s">
        <v>366</v>
      </c>
      <c r="G5" t="s">
        <v>186</v>
      </c>
      <c r="H5" t="s">
        <v>367</v>
      </c>
      <c r="K5" s="3">
        <v>2</v>
      </c>
      <c r="L5" s="3">
        <v>2</v>
      </c>
      <c r="M5" s="3" t="str">
        <f t="shared" si="0"/>
        <v>#492359</v>
      </c>
      <c r="N5" s="3">
        <v>1</v>
      </c>
      <c r="O5" s="3">
        <v>1</v>
      </c>
      <c r="Q5" s="13" t="s">
        <v>78</v>
      </c>
      <c r="R5" t="s">
        <v>36</v>
      </c>
      <c r="S5" t="s">
        <v>54</v>
      </c>
      <c r="T5" s="18" t="s">
        <v>472</v>
      </c>
    </row>
    <row r="6" spans="1:20" x14ac:dyDescent="0.2">
      <c r="A6" s="3" t="s">
        <v>485</v>
      </c>
      <c r="B6" t="s">
        <v>362</v>
      </c>
      <c r="C6" t="s">
        <v>373</v>
      </c>
      <c r="D6" t="s">
        <v>374</v>
      </c>
      <c r="E6" t="s">
        <v>365</v>
      </c>
      <c r="F6" t="s">
        <v>366</v>
      </c>
      <c r="G6" t="s">
        <v>186</v>
      </c>
      <c r="H6" t="s">
        <v>367</v>
      </c>
      <c r="K6" s="3">
        <v>2</v>
      </c>
      <c r="L6" s="3">
        <v>2</v>
      </c>
      <c r="M6" s="3" t="str">
        <f t="shared" si="0"/>
        <v>#ad4498</v>
      </c>
      <c r="N6" s="3">
        <v>1</v>
      </c>
      <c r="O6" s="3">
        <v>1</v>
      </c>
      <c r="Q6" s="13" t="s">
        <v>80</v>
      </c>
      <c r="R6" t="s">
        <v>37</v>
      </c>
      <c r="S6" t="s">
        <v>54</v>
      </c>
      <c r="T6" s="18" t="s">
        <v>472</v>
      </c>
    </row>
    <row r="7" spans="1:20" x14ac:dyDescent="0.2">
      <c r="A7" s="3" t="s">
        <v>486</v>
      </c>
      <c r="B7" t="s">
        <v>362</v>
      </c>
      <c r="C7" t="s">
        <v>375</v>
      </c>
      <c r="D7" t="s">
        <v>74</v>
      </c>
      <c r="E7" t="s">
        <v>365</v>
      </c>
      <c r="F7" t="s">
        <v>366</v>
      </c>
      <c r="G7" t="s">
        <v>186</v>
      </c>
      <c r="H7" t="s">
        <v>367</v>
      </c>
      <c r="K7" s="3">
        <v>2</v>
      </c>
      <c r="L7" s="3">
        <v>2</v>
      </c>
      <c r="M7" s="3" t="str">
        <f t="shared" si="0"/>
        <v>#8c7209</v>
      </c>
      <c r="N7" s="3">
        <v>1</v>
      </c>
      <c r="O7" s="3">
        <v>1</v>
      </c>
      <c r="Q7" s="13" t="s">
        <v>81</v>
      </c>
      <c r="R7" t="s">
        <v>38</v>
      </c>
      <c r="S7" t="s">
        <v>54</v>
      </c>
      <c r="T7" s="18" t="s">
        <v>472</v>
      </c>
    </row>
    <row r="8" spans="1:20" x14ac:dyDescent="0.2">
      <c r="A8" s="3" t="s">
        <v>487</v>
      </c>
      <c r="B8" t="s">
        <v>362</v>
      </c>
      <c r="C8" t="s">
        <v>376</v>
      </c>
      <c r="D8" t="s">
        <v>377</v>
      </c>
      <c r="E8" t="s">
        <v>365</v>
      </c>
      <c r="F8" t="s">
        <v>366</v>
      </c>
      <c r="G8" t="s">
        <v>186</v>
      </c>
      <c r="H8" t="s">
        <v>367</v>
      </c>
      <c r="K8" s="3">
        <v>2</v>
      </c>
      <c r="L8" s="3">
        <v>2</v>
      </c>
      <c r="M8" s="3" t="str">
        <f t="shared" si="0"/>
        <v>#8c7209</v>
      </c>
      <c r="N8" s="3">
        <v>1</v>
      </c>
      <c r="O8" s="3">
        <v>1</v>
      </c>
      <c r="Q8" s="13" t="s">
        <v>81</v>
      </c>
      <c r="R8" t="s">
        <v>39</v>
      </c>
      <c r="S8" t="s">
        <v>54</v>
      </c>
      <c r="T8" s="18" t="s">
        <v>472</v>
      </c>
    </row>
    <row r="9" spans="1:20" x14ac:dyDescent="0.2">
      <c r="A9" s="3" t="s">
        <v>488</v>
      </c>
      <c r="B9" t="s">
        <v>362</v>
      </c>
      <c r="C9" t="s">
        <v>77</v>
      </c>
      <c r="D9" t="s">
        <v>71</v>
      </c>
      <c r="E9" t="s">
        <v>365</v>
      </c>
      <c r="F9" t="s">
        <v>366</v>
      </c>
      <c r="G9" t="s">
        <v>186</v>
      </c>
      <c r="H9" t="s">
        <v>367</v>
      </c>
      <c r="K9" s="3">
        <v>2</v>
      </c>
      <c r="L9" s="3">
        <v>2</v>
      </c>
      <c r="M9" s="3" t="str">
        <f t="shared" si="0"/>
        <v>#0f4426</v>
      </c>
      <c r="N9" s="3">
        <v>1</v>
      </c>
      <c r="O9" s="3">
        <v>1</v>
      </c>
      <c r="Q9" s="13" t="s">
        <v>81</v>
      </c>
      <c r="R9" t="s">
        <v>40</v>
      </c>
      <c r="S9" t="s">
        <v>54</v>
      </c>
      <c r="T9" s="18" t="s">
        <v>472</v>
      </c>
    </row>
    <row r="10" spans="1:20" x14ac:dyDescent="0.2">
      <c r="A10" s="3" t="s">
        <v>489</v>
      </c>
      <c r="B10" t="s">
        <v>362</v>
      </c>
      <c r="C10" t="s">
        <v>79</v>
      </c>
      <c r="D10" t="s">
        <v>73</v>
      </c>
      <c r="E10" t="s">
        <v>365</v>
      </c>
      <c r="F10" t="s">
        <v>366</v>
      </c>
      <c r="G10" t="s">
        <v>186</v>
      </c>
      <c r="H10" t="s">
        <v>367</v>
      </c>
      <c r="K10" s="3">
        <v>2</v>
      </c>
      <c r="L10" s="3">
        <v>2</v>
      </c>
      <c r="M10" s="3" t="str">
        <f t="shared" si="0"/>
        <v>#1e8449</v>
      </c>
      <c r="N10" s="3">
        <v>1</v>
      </c>
      <c r="O10" s="3">
        <v>1</v>
      </c>
      <c r="Q10" s="13" t="s">
        <v>82</v>
      </c>
      <c r="R10" t="s">
        <v>41</v>
      </c>
      <c r="S10" t="s">
        <v>54</v>
      </c>
      <c r="T10" s="18" t="s">
        <v>472</v>
      </c>
    </row>
    <row r="11" spans="1:20" x14ac:dyDescent="0.2">
      <c r="A11" s="3" t="s">
        <v>490</v>
      </c>
      <c r="B11" t="s">
        <v>362</v>
      </c>
      <c r="C11" t="s">
        <v>84</v>
      </c>
      <c r="D11" t="s">
        <v>553</v>
      </c>
      <c r="E11" t="s">
        <v>365</v>
      </c>
      <c r="F11" t="s">
        <v>366</v>
      </c>
      <c r="G11" t="s">
        <v>186</v>
      </c>
      <c r="H11" t="s">
        <v>367</v>
      </c>
      <c r="K11" s="3">
        <v>2</v>
      </c>
      <c r="L11" s="3">
        <v>2</v>
      </c>
      <c r="M11" s="3" t="str">
        <f t="shared" si="0"/>
        <v>#c5f2c2</v>
      </c>
      <c r="N11" s="3">
        <v>1</v>
      </c>
      <c r="O11" s="3">
        <v>1</v>
      </c>
      <c r="Q11" s="13" t="s">
        <v>78</v>
      </c>
      <c r="R11" t="s">
        <v>42</v>
      </c>
      <c r="S11" t="s">
        <v>54</v>
      </c>
      <c r="T11" s="18" t="s">
        <v>472</v>
      </c>
    </row>
    <row r="12" spans="1:20" x14ac:dyDescent="0.2">
      <c r="A12" s="3" t="s">
        <v>491</v>
      </c>
      <c r="B12" t="s">
        <v>362</v>
      </c>
      <c r="C12" t="s">
        <v>363</v>
      </c>
      <c r="D12" t="s">
        <v>378</v>
      </c>
      <c r="E12" t="s">
        <v>379</v>
      </c>
      <c r="F12" t="s">
        <v>378</v>
      </c>
      <c r="G12" t="s">
        <v>365</v>
      </c>
      <c r="H12" t="s">
        <v>366</v>
      </c>
      <c r="I12" t="s">
        <v>186</v>
      </c>
      <c r="J12" t="s">
        <v>367</v>
      </c>
      <c r="K12" s="3">
        <v>2</v>
      </c>
      <c r="L12" s="3">
        <v>2</v>
      </c>
      <c r="M12" s="3" t="str">
        <f t="shared" si="0"/>
        <v>#d47a0d</v>
      </c>
      <c r="N12" s="3">
        <v>1</v>
      </c>
      <c r="O12" s="3">
        <v>1</v>
      </c>
      <c r="Q12" s="13" t="s">
        <v>78</v>
      </c>
      <c r="R12" t="s">
        <v>43</v>
      </c>
      <c r="S12" t="s">
        <v>54</v>
      </c>
      <c r="T12" s="18" t="s">
        <v>472</v>
      </c>
    </row>
    <row r="13" spans="1:20" x14ac:dyDescent="0.2">
      <c r="A13" s="3" t="s">
        <v>492</v>
      </c>
      <c r="B13" t="s">
        <v>362</v>
      </c>
      <c r="C13" t="s">
        <v>434</v>
      </c>
      <c r="D13" t="s">
        <v>554</v>
      </c>
      <c r="E13" t="s">
        <v>365</v>
      </c>
      <c r="F13" t="s">
        <v>366</v>
      </c>
      <c r="G13" t="s">
        <v>186</v>
      </c>
      <c r="H13" t="s">
        <v>367</v>
      </c>
      <c r="K13" s="3">
        <v>2</v>
      </c>
      <c r="L13" s="3">
        <v>2</v>
      </c>
      <c r="M13" s="3" t="str">
        <f t="shared" si="0"/>
        <v>#e3cec5</v>
      </c>
      <c r="N13" s="3">
        <v>1</v>
      </c>
      <c r="O13" s="3">
        <v>1</v>
      </c>
      <c r="Q13" s="13" t="s">
        <v>78</v>
      </c>
      <c r="R13" t="s">
        <v>44</v>
      </c>
      <c r="S13" t="s">
        <v>54</v>
      </c>
      <c r="T13" s="18" t="s">
        <v>472</v>
      </c>
    </row>
    <row r="14" spans="1:20" x14ac:dyDescent="0.2">
      <c r="A14" s="3" t="s">
        <v>493</v>
      </c>
      <c r="B14" t="s">
        <v>362</v>
      </c>
      <c r="C14" t="s">
        <v>380</v>
      </c>
      <c r="D14" t="s">
        <v>381</v>
      </c>
      <c r="E14" t="s">
        <v>365</v>
      </c>
      <c r="F14" t="s">
        <v>366</v>
      </c>
      <c r="G14" t="s">
        <v>186</v>
      </c>
      <c r="H14" t="s">
        <v>367</v>
      </c>
      <c r="K14" s="3">
        <v>2</v>
      </c>
      <c r="L14" s="3">
        <v>2</v>
      </c>
      <c r="M14" s="3" t="str">
        <f t="shared" si="0"/>
        <v>#784507</v>
      </c>
      <c r="N14" s="3">
        <v>1</v>
      </c>
      <c r="O14" s="3">
        <v>1</v>
      </c>
      <c r="Q14" s="13" t="s">
        <v>78</v>
      </c>
      <c r="R14" t="s">
        <v>45</v>
      </c>
      <c r="S14" t="s">
        <v>54</v>
      </c>
      <c r="T14" s="18" t="s">
        <v>472</v>
      </c>
    </row>
    <row r="15" spans="1:20" x14ac:dyDescent="0.2">
      <c r="A15" s="3" t="s">
        <v>494</v>
      </c>
      <c r="B15" t="s">
        <v>362</v>
      </c>
      <c r="C15" t="s">
        <v>380</v>
      </c>
      <c r="D15" t="s">
        <v>382</v>
      </c>
      <c r="E15" t="s">
        <v>365</v>
      </c>
      <c r="F15" t="s">
        <v>366</v>
      </c>
      <c r="G15" t="s">
        <v>186</v>
      </c>
      <c r="H15" t="s">
        <v>367</v>
      </c>
      <c r="K15" s="3">
        <v>2</v>
      </c>
      <c r="L15" s="3">
        <v>2</v>
      </c>
      <c r="M15" s="3" t="str">
        <f t="shared" si="0"/>
        <v>#784507</v>
      </c>
      <c r="N15" s="3">
        <v>1</v>
      </c>
      <c r="O15" s="3">
        <v>1</v>
      </c>
      <c r="Q15" s="13" t="s">
        <v>83</v>
      </c>
      <c r="R15" t="s">
        <v>63</v>
      </c>
      <c r="S15" t="s">
        <v>87</v>
      </c>
      <c r="T15" s="18" t="s">
        <v>471</v>
      </c>
    </row>
    <row r="16" spans="1:20" x14ac:dyDescent="0.2">
      <c r="A16" s="3" t="s">
        <v>495</v>
      </c>
      <c r="B16" t="s">
        <v>362</v>
      </c>
      <c r="C16" t="s">
        <v>383</v>
      </c>
      <c r="D16" t="s">
        <v>384</v>
      </c>
      <c r="E16" t="s">
        <v>365</v>
      </c>
      <c r="F16" t="s">
        <v>366</v>
      </c>
      <c r="G16" t="s">
        <v>186</v>
      </c>
      <c r="H16" t="s">
        <v>367</v>
      </c>
      <c r="K16" s="3">
        <v>2</v>
      </c>
      <c r="L16" s="3">
        <v>2</v>
      </c>
      <c r="M16" s="3" t="str">
        <f t="shared" si="0"/>
        <v>#492359</v>
      </c>
      <c r="N16" s="3">
        <v>1</v>
      </c>
      <c r="O16" s="3">
        <v>1</v>
      </c>
      <c r="Q16" s="13" t="s">
        <v>84</v>
      </c>
      <c r="R16" t="s">
        <v>64</v>
      </c>
      <c r="S16" t="s">
        <v>87</v>
      </c>
      <c r="T16" s="18" t="s">
        <v>471</v>
      </c>
    </row>
    <row r="17" spans="1:20" x14ac:dyDescent="0.2">
      <c r="A17" s="3" t="s">
        <v>496</v>
      </c>
      <c r="B17" t="s">
        <v>362</v>
      </c>
      <c r="C17" t="s">
        <v>385</v>
      </c>
      <c r="D17" t="s">
        <v>386</v>
      </c>
      <c r="E17" t="s">
        <v>365</v>
      </c>
      <c r="F17" t="s">
        <v>366</v>
      </c>
      <c r="G17" t="s">
        <v>186</v>
      </c>
      <c r="H17" t="s">
        <v>367</v>
      </c>
      <c r="K17" s="3">
        <v>2</v>
      </c>
      <c r="L17" s="3">
        <v>2</v>
      </c>
      <c r="M17" s="3" t="str">
        <f t="shared" si="0"/>
        <v>#3ac42d</v>
      </c>
      <c r="N17" s="3">
        <v>1</v>
      </c>
      <c r="O17" s="3">
        <v>1</v>
      </c>
      <c r="Q17" s="13" t="s">
        <v>83</v>
      </c>
      <c r="R17" t="s">
        <v>65</v>
      </c>
      <c r="S17" t="s">
        <v>87</v>
      </c>
      <c r="T17" s="18" t="s">
        <v>471</v>
      </c>
    </row>
    <row r="18" spans="1:20" x14ac:dyDescent="0.2">
      <c r="A18" s="3" t="s">
        <v>497</v>
      </c>
      <c r="B18" t="s">
        <v>362</v>
      </c>
      <c r="C18" t="s">
        <v>387</v>
      </c>
      <c r="D18" t="s">
        <v>388</v>
      </c>
      <c r="E18" t="s">
        <v>365</v>
      </c>
      <c r="F18" t="s">
        <v>366</v>
      </c>
      <c r="G18" t="s">
        <v>186</v>
      </c>
      <c r="H18" t="s">
        <v>367</v>
      </c>
      <c r="K18" s="3">
        <v>2</v>
      </c>
      <c r="L18" s="3">
        <v>2</v>
      </c>
      <c r="M18" s="3" t="str">
        <f t="shared" si="0"/>
        <v>#8c7209</v>
      </c>
      <c r="N18" s="3">
        <v>1</v>
      </c>
      <c r="O18" s="3">
        <v>1</v>
      </c>
      <c r="Q18" s="13" t="s">
        <v>431</v>
      </c>
      <c r="R18" t="s">
        <v>138</v>
      </c>
      <c r="S18" t="s">
        <v>416</v>
      </c>
      <c r="T18" s="18" t="s">
        <v>476</v>
      </c>
    </row>
    <row r="19" spans="1:20" x14ac:dyDescent="0.2">
      <c r="A19" s="3" t="s">
        <v>498</v>
      </c>
      <c r="B19" t="s">
        <v>362</v>
      </c>
      <c r="C19" t="s">
        <v>390</v>
      </c>
      <c r="D19" t="s">
        <v>391</v>
      </c>
      <c r="E19" t="s">
        <v>365</v>
      </c>
      <c r="F19" t="s">
        <v>366</v>
      </c>
      <c r="G19" t="s">
        <v>186</v>
      </c>
      <c r="H19" t="s">
        <v>367</v>
      </c>
      <c r="K19" s="3">
        <v>2</v>
      </c>
      <c r="L19" s="3">
        <v>2</v>
      </c>
      <c r="M19" s="3" t="str">
        <f t="shared" si="0"/>
        <v>#780d07</v>
      </c>
      <c r="N19" s="3">
        <v>1</v>
      </c>
      <c r="O19" s="3">
        <v>1</v>
      </c>
      <c r="Q19" s="13" t="s">
        <v>432</v>
      </c>
      <c r="R19" t="s">
        <v>139</v>
      </c>
      <c r="S19" t="s">
        <v>417</v>
      </c>
      <c r="T19" s="18" t="s">
        <v>474</v>
      </c>
    </row>
    <row r="20" spans="1:20" x14ac:dyDescent="0.2">
      <c r="A20" s="3" t="s">
        <v>499</v>
      </c>
      <c r="B20" t="s">
        <v>362</v>
      </c>
      <c r="C20" t="s">
        <v>392</v>
      </c>
      <c r="D20" t="s">
        <v>393</v>
      </c>
      <c r="E20" t="s">
        <v>365</v>
      </c>
      <c r="F20" t="s">
        <v>366</v>
      </c>
      <c r="G20" t="s">
        <v>186</v>
      </c>
      <c r="H20" t="s">
        <v>367</v>
      </c>
      <c r="K20" s="3">
        <v>2</v>
      </c>
      <c r="L20" s="3">
        <v>2</v>
      </c>
      <c r="M20" s="3" t="str">
        <f t="shared" si="0"/>
        <v>#492359</v>
      </c>
      <c r="N20" s="3">
        <v>1</v>
      </c>
      <c r="O20" s="3">
        <v>1</v>
      </c>
      <c r="Q20" s="13" t="s">
        <v>433</v>
      </c>
      <c r="R20" t="s">
        <v>140</v>
      </c>
      <c r="S20" t="s">
        <v>418</v>
      </c>
      <c r="T20" s="18" t="s">
        <v>463</v>
      </c>
    </row>
    <row r="21" spans="1:20" x14ac:dyDescent="0.2">
      <c r="A21" s="3" t="s">
        <v>500</v>
      </c>
      <c r="B21" t="s">
        <v>362</v>
      </c>
      <c r="C21" t="s">
        <v>394</v>
      </c>
      <c r="D21" t="s">
        <v>377</v>
      </c>
      <c r="E21" t="s">
        <v>365</v>
      </c>
      <c r="F21" t="s">
        <v>366</v>
      </c>
      <c r="G21" t="s">
        <v>186</v>
      </c>
      <c r="H21" t="s">
        <v>370</v>
      </c>
      <c r="K21" s="3">
        <v>2</v>
      </c>
      <c r="L21" s="3">
        <v>2</v>
      </c>
      <c r="M21" s="3" t="str">
        <f t="shared" si="0"/>
        <v>#3ac42d</v>
      </c>
      <c r="N21" s="3">
        <v>1</v>
      </c>
      <c r="O21" s="3">
        <v>1</v>
      </c>
      <c r="Q21" s="13" t="s">
        <v>434</v>
      </c>
      <c r="R21" t="s">
        <v>141</v>
      </c>
      <c r="S21" t="s">
        <v>417</v>
      </c>
      <c r="T21" s="18" t="s">
        <v>474</v>
      </c>
    </row>
    <row r="22" spans="1:20" x14ac:dyDescent="0.2">
      <c r="A22" s="3" t="s">
        <v>501</v>
      </c>
      <c r="B22" t="s">
        <v>362</v>
      </c>
      <c r="C22" t="s">
        <v>394</v>
      </c>
      <c r="D22" t="s">
        <v>377</v>
      </c>
      <c r="E22" t="s">
        <v>365</v>
      </c>
      <c r="F22" t="s">
        <v>366</v>
      </c>
      <c r="G22" t="s">
        <v>186</v>
      </c>
      <c r="H22" t="s">
        <v>367</v>
      </c>
      <c r="K22" s="3">
        <v>2</v>
      </c>
      <c r="L22" s="3">
        <v>2</v>
      </c>
      <c r="M22" s="3" t="str">
        <f t="shared" si="0"/>
        <v>#3ac42d</v>
      </c>
      <c r="N22" s="3">
        <v>1</v>
      </c>
      <c r="O22" s="3">
        <v>1</v>
      </c>
      <c r="Q22" s="13" t="s">
        <v>435</v>
      </c>
      <c r="R22" t="s">
        <v>142</v>
      </c>
      <c r="S22" t="s">
        <v>417</v>
      </c>
      <c r="T22" s="18" t="s">
        <v>474</v>
      </c>
    </row>
    <row r="23" spans="1:20" x14ac:dyDescent="0.2">
      <c r="A23" s="3" t="s">
        <v>502</v>
      </c>
      <c r="B23" t="s">
        <v>362</v>
      </c>
      <c r="C23" t="s">
        <v>395</v>
      </c>
      <c r="D23" t="s">
        <v>396</v>
      </c>
      <c r="E23" t="s">
        <v>365</v>
      </c>
      <c r="F23" t="s">
        <v>366</v>
      </c>
      <c r="G23" t="s">
        <v>186</v>
      </c>
      <c r="H23" t="s">
        <v>367</v>
      </c>
      <c r="K23" s="3">
        <v>2</v>
      </c>
      <c r="L23" s="3">
        <v>2</v>
      </c>
      <c r="M23" s="3" t="str">
        <f t="shared" si="0"/>
        <v>#8c7209</v>
      </c>
      <c r="N23" s="3">
        <v>1</v>
      </c>
      <c r="O23" s="3">
        <v>1</v>
      </c>
      <c r="Q23" s="13" t="s">
        <v>436</v>
      </c>
      <c r="R23" t="s">
        <v>143</v>
      </c>
      <c r="S23" t="s">
        <v>416</v>
      </c>
      <c r="T23" s="18" t="s">
        <v>476</v>
      </c>
    </row>
    <row r="24" spans="1:20" x14ac:dyDescent="0.2">
      <c r="A24" s="3" t="s">
        <v>503</v>
      </c>
      <c r="B24" t="s">
        <v>362</v>
      </c>
      <c r="C24" t="s">
        <v>397</v>
      </c>
      <c r="D24" t="s">
        <v>398</v>
      </c>
      <c r="E24" t="s">
        <v>365</v>
      </c>
      <c r="F24" t="s">
        <v>366</v>
      </c>
      <c r="G24" t="s">
        <v>186</v>
      </c>
      <c r="H24" t="s">
        <v>367</v>
      </c>
      <c r="K24" s="3">
        <v>2</v>
      </c>
      <c r="L24" s="3">
        <v>2</v>
      </c>
      <c r="M24" s="3" t="str">
        <f t="shared" si="0"/>
        <v>#8c7209</v>
      </c>
      <c r="N24" s="3">
        <v>1</v>
      </c>
      <c r="O24" s="3">
        <v>1</v>
      </c>
      <c r="Q24" s="13" t="s">
        <v>437</v>
      </c>
      <c r="R24" t="s">
        <v>144</v>
      </c>
      <c r="S24" t="s">
        <v>417</v>
      </c>
      <c r="T24" s="18" t="s">
        <v>474</v>
      </c>
    </row>
    <row r="25" spans="1:20" x14ac:dyDescent="0.2">
      <c r="A25" s="3" t="s">
        <v>504</v>
      </c>
      <c r="B25" t="s">
        <v>362</v>
      </c>
      <c r="C25" t="s">
        <v>399</v>
      </c>
      <c r="D25" t="s">
        <v>400</v>
      </c>
      <c r="E25" t="s">
        <v>365</v>
      </c>
      <c r="F25" t="s">
        <v>366</v>
      </c>
      <c r="G25" t="s">
        <v>186</v>
      </c>
      <c r="H25" t="s">
        <v>367</v>
      </c>
      <c r="K25" s="3">
        <v>2</v>
      </c>
      <c r="L25" s="3">
        <v>2</v>
      </c>
      <c r="M25" s="3" t="str">
        <f t="shared" si="0"/>
        <v>#3ac42d</v>
      </c>
      <c r="N25" s="3">
        <v>1</v>
      </c>
      <c r="O25" s="3">
        <v>1</v>
      </c>
      <c r="Q25" s="13" t="s">
        <v>438</v>
      </c>
      <c r="R25" t="s">
        <v>145</v>
      </c>
      <c r="S25" t="s">
        <v>418</v>
      </c>
      <c r="T25" s="18" t="s">
        <v>463</v>
      </c>
    </row>
    <row r="26" spans="1:20" x14ac:dyDescent="0.2">
      <c r="A26" s="3" t="s">
        <v>505</v>
      </c>
      <c r="B26" t="s">
        <v>362</v>
      </c>
      <c r="C26" t="s">
        <v>401</v>
      </c>
      <c r="D26" t="s">
        <v>402</v>
      </c>
      <c r="E26" t="s">
        <v>365</v>
      </c>
      <c r="F26" t="s">
        <v>366</v>
      </c>
      <c r="G26" t="s">
        <v>186</v>
      </c>
      <c r="H26" t="s">
        <v>367</v>
      </c>
      <c r="K26" s="3">
        <v>2</v>
      </c>
      <c r="L26" s="3">
        <v>2</v>
      </c>
      <c r="M26" s="3" t="str">
        <f t="shared" si="0"/>
        <v>#8c7209</v>
      </c>
      <c r="N26" s="3">
        <v>1</v>
      </c>
      <c r="O26" s="3">
        <v>1</v>
      </c>
      <c r="Q26" s="13" t="s">
        <v>434</v>
      </c>
      <c r="R26" t="s">
        <v>146</v>
      </c>
      <c r="S26" t="s">
        <v>417</v>
      </c>
      <c r="T26" s="18" t="s">
        <v>474</v>
      </c>
    </row>
    <row r="27" spans="1:20" x14ac:dyDescent="0.2">
      <c r="A27" s="3" t="s">
        <v>506</v>
      </c>
      <c r="B27" t="s">
        <v>362</v>
      </c>
      <c r="C27" t="s">
        <v>403</v>
      </c>
      <c r="D27" t="s">
        <v>404</v>
      </c>
      <c r="E27" t="s">
        <v>365</v>
      </c>
      <c r="F27" t="s">
        <v>366</v>
      </c>
      <c r="G27" t="s">
        <v>186</v>
      </c>
      <c r="H27" t="s">
        <v>367</v>
      </c>
      <c r="K27" s="3">
        <v>2</v>
      </c>
      <c r="L27" s="3">
        <v>2</v>
      </c>
      <c r="M27" s="3" t="str">
        <f t="shared" si="0"/>
        <v>#8c7209</v>
      </c>
      <c r="N27" s="3">
        <v>1</v>
      </c>
      <c r="O27" s="3">
        <v>1</v>
      </c>
      <c r="Q27" s="13" t="s">
        <v>363</v>
      </c>
      <c r="R27" t="s">
        <v>147</v>
      </c>
      <c r="S27" t="s">
        <v>419</v>
      </c>
      <c r="T27" s="18" t="s">
        <v>461</v>
      </c>
    </row>
    <row r="28" spans="1:20" x14ac:dyDescent="0.2">
      <c r="A28" s="3" t="s">
        <v>507</v>
      </c>
      <c r="B28" t="s">
        <v>362</v>
      </c>
      <c r="C28" t="s">
        <v>405</v>
      </c>
      <c r="D28" t="s">
        <v>72</v>
      </c>
      <c r="E28" t="s">
        <v>365</v>
      </c>
      <c r="F28" t="s">
        <v>366</v>
      </c>
      <c r="G28" t="s">
        <v>186</v>
      </c>
      <c r="H28" t="s">
        <v>367</v>
      </c>
      <c r="K28" s="3">
        <v>2</v>
      </c>
      <c r="L28" s="3">
        <v>2</v>
      </c>
      <c r="M28" s="3" t="str">
        <f t="shared" si="0"/>
        <v>#3ac42d</v>
      </c>
      <c r="N28" s="3">
        <v>1</v>
      </c>
      <c r="O28" s="3">
        <v>1</v>
      </c>
      <c r="Q28" s="13" t="s">
        <v>363</v>
      </c>
      <c r="R28" t="s">
        <v>148</v>
      </c>
      <c r="S28" t="s">
        <v>419</v>
      </c>
      <c r="T28" s="18" t="s">
        <v>461</v>
      </c>
    </row>
    <row r="29" spans="1:20" x14ac:dyDescent="0.2">
      <c r="A29" s="3" t="s">
        <v>508</v>
      </c>
      <c r="B29" t="s">
        <v>362</v>
      </c>
      <c r="C29" t="s">
        <v>406</v>
      </c>
      <c r="D29" t="s">
        <v>74</v>
      </c>
      <c r="E29" t="s">
        <v>365</v>
      </c>
      <c r="F29" t="s">
        <v>366</v>
      </c>
      <c r="G29" t="s">
        <v>186</v>
      </c>
      <c r="H29" t="s">
        <v>555</v>
      </c>
      <c r="K29" s="3">
        <v>2</v>
      </c>
      <c r="L29" s="3">
        <v>2</v>
      </c>
      <c r="M29" s="3" t="str">
        <f t="shared" si="0"/>
        <v>#3ac42d</v>
      </c>
      <c r="N29" s="3">
        <v>1</v>
      </c>
      <c r="O29" s="3">
        <v>1</v>
      </c>
      <c r="Q29" s="13" t="s">
        <v>439</v>
      </c>
      <c r="R29" t="s">
        <v>149</v>
      </c>
      <c r="S29" t="s">
        <v>417</v>
      </c>
      <c r="T29" s="18" t="s">
        <v>474</v>
      </c>
    </row>
    <row r="30" spans="1:20" x14ac:dyDescent="0.2">
      <c r="A30" s="3" t="s">
        <v>509</v>
      </c>
      <c r="B30" t="s">
        <v>362</v>
      </c>
      <c r="C30" t="s">
        <v>406</v>
      </c>
      <c r="D30" t="s">
        <v>74</v>
      </c>
      <c r="E30" t="s">
        <v>365</v>
      </c>
      <c r="F30" t="s">
        <v>366</v>
      </c>
      <c r="G30" t="s">
        <v>186</v>
      </c>
      <c r="H30" t="s">
        <v>370</v>
      </c>
      <c r="K30" s="3">
        <v>2</v>
      </c>
      <c r="L30" s="3">
        <v>2</v>
      </c>
      <c r="M30" s="3" t="str">
        <f t="shared" si="0"/>
        <v>#3ac42d</v>
      </c>
      <c r="N30" s="3">
        <v>1</v>
      </c>
      <c r="O30" s="3">
        <v>1</v>
      </c>
      <c r="Q30" s="13" t="s">
        <v>434</v>
      </c>
      <c r="R30" t="s">
        <v>150</v>
      </c>
      <c r="S30" t="s">
        <v>417</v>
      </c>
      <c r="T30" s="18" t="s">
        <v>474</v>
      </c>
    </row>
    <row r="31" spans="1:20" x14ac:dyDescent="0.2">
      <c r="A31" s="3" t="s">
        <v>510</v>
      </c>
      <c r="B31" t="s">
        <v>362</v>
      </c>
      <c r="C31" t="s">
        <v>406</v>
      </c>
      <c r="D31" t="s">
        <v>74</v>
      </c>
      <c r="E31" t="s">
        <v>365</v>
      </c>
      <c r="F31" t="s">
        <v>366</v>
      </c>
      <c r="G31" t="s">
        <v>186</v>
      </c>
      <c r="H31" t="s">
        <v>367</v>
      </c>
      <c r="K31" s="3">
        <v>2</v>
      </c>
      <c r="L31" s="3">
        <v>2</v>
      </c>
      <c r="M31" s="3" t="str">
        <f t="shared" si="0"/>
        <v>#3ac42d</v>
      </c>
      <c r="N31" s="3">
        <v>1</v>
      </c>
      <c r="O31" s="3">
        <v>1</v>
      </c>
      <c r="Q31" s="13" t="s">
        <v>440</v>
      </c>
      <c r="R31" t="s">
        <v>151</v>
      </c>
      <c r="S31" t="s">
        <v>420</v>
      </c>
      <c r="T31" s="18" t="s">
        <v>475</v>
      </c>
    </row>
    <row r="32" spans="1:20" x14ac:dyDescent="0.2">
      <c r="A32" s="3" t="s">
        <v>511</v>
      </c>
      <c r="B32" t="s">
        <v>362</v>
      </c>
      <c r="C32" t="s">
        <v>406</v>
      </c>
      <c r="D32" t="s">
        <v>74</v>
      </c>
      <c r="E32" t="s">
        <v>365</v>
      </c>
      <c r="F32" t="s">
        <v>366</v>
      </c>
      <c r="G32" t="s">
        <v>186</v>
      </c>
      <c r="H32" t="s">
        <v>556</v>
      </c>
      <c r="K32" s="3">
        <v>2</v>
      </c>
      <c r="L32" s="3">
        <v>2</v>
      </c>
      <c r="M32" s="3" t="str">
        <f t="shared" si="0"/>
        <v>#3ac42d</v>
      </c>
      <c r="N32" s="3">
        <v>1</v>
      </c>
      <c r="O32" s="3">
        <v>1</v>
      </c>
      <c r="Q32" s="13" t="s">
        <v>434</v>
      </c>
      <c r="R32" t="s">
        <v>152</v>
      </c>
      <c r="S32" t="s">
        <v>417</v>
      </c>
      <c r="T32" s="18" t="s">
        <v>474</v>
      </c>
    </row>
    <row r="33" spans="1:20" x14ac:dyDescent="0.2">
      <c r="A33" s="3" t="s">
        <v>512</v>
      </c>
      <c r="B33" t="s">
        <v>362</v>
      </c>
      <c r="C33" t="s">
        <v>406</v>
      </c>
      <c r="D33" t="s">
        <v>74</v>
      </c>
      <c r="E33" t="s">
        <v>365</v>
      </c>
      <c r="F33" t="s">
        <v>366</v>
      </c>
      <c r="G33" t="s">
        <v>186</v>
      </c>
      <c r="H33" t="s">
        <v>389</v>
      </c>
      <c r="K33" s="3">
        <v>2</v>
      </c>
      <c r="L33" s="3">
        <v>2</v>
      </c>
      <c r="M33" s="3" t="str">
        <f t="shared" si="0"/>
        <v>#3ac42d</v>
      </c>
      <c r="N33" s="3">
        <v>1</v>
      </c>
      <c r="O33" s="3">
        <v>1</v>
      </c>
      <c r="Q33" s="13" t="s">
        <v>441</v>
      </c>
      <c r="R33" t="s">
        <v>153</v>
      </c>
      <c r="S33" t="s">
        <v>421</v>
      </c>
      <c r="T33" s="18" t="s">
        <v>473</v>
      </c>
    </row>
    <row r="34" spans="1:20" x14ac:dyDescent="0.2">
      <c r="A34" s="3" t="s">
        <v>513</v>
      </c>
      <c r="B34" t="s">
        <v>362</v>
      </c>
      <c r="C34" t="s">
        <v>407</v>
      </c>
      <c r="D34" t="s">
        <v>408</v>
      </c>
      <c r="E34" t="s">
        <v>379</v>
      </c>
      <c r="F34" t="s">
        <v>408</v>
      </c>
      <c r="G34" t="s">
        <v>365</v>
      </c>
      <c r="H34" t="s">
        <v>366</v>
      </c>
      <c r="I34" t="s">
        <v>186</v>
      </c>
      <c r="J34" t="s">
        <v>367</v>
      </c>
      <c r="K34" s="3">
        <v>2</v>
      </c>
      <c r="L34" s="3">
        <v>2</v>
      </c>
      <c r="M34" s="3" t="str">
        <f t="shared" si="0"/>
        <v>#3ac42d</v>
      </c>
      <c r="N34" s="3">
        <v>1</v>
      </c>
      <c r="O34" s="3">
        <v>1</v>
      </c>
      <c r="Q34" s="13" t="s">
        <v>442</v>
      </c>
      <c r="R34" t="s">
        <v>154</v>
      </c>
      <c r="S34" t="s">
        <v>417</v>
      </c>
      <c r="T34" s="18" t="s">
        <v>474</v>
      </c>
    </row>
    <row r="35" spans="1:20" x14ac:dyDescent="0.2">
      <c r="A35" s="3" t="s">
        <v>514</v>
      </c>
      <c r="B35" t="s">
        <v>362</v>
      </c>
      <c r="C35" t="s">
        <v>409</v>
      </c>
      <c r="D35" t="s">
        <v>410</v>
      </c>
      <c r="E35" t="s">
        <v>365</v>
      </c>
      <c r="F35" t="s">
        <v>366</v>
      </c>
      <c r="G35" t="s">
        <v>186</v>
      </c>
      <c r="H35" t="s">
        <v>367</v>
      </c>
      <c r="K35" s="3">
        <v>2</v>
      </c>
      <c r="L35" s="3">
        <v>2</v>
      </c>
      <c r="M35" s="3" t="str">
        <f t="shared" si="0"/>
        <v>#8c7209</v>
      </c>
      <c r="N35" s="3">
        <v>1</v>
      </c>
      <c r="O35" s="3">
        <v>1</v>
      </c>
      <c r="Q35" s="13" t="s">
        <v>434</v>
      </c>
      <c r="R35" t="s">
        <v>155</v>
      </c>
      <c r="S35" t="s">
        <v>417</v>
      </c>
      <c r="T35" s="18" t="s">
        <v>474</v>
      </c>
    </row>
    <row r="36" spans="1:20" x14ac:dyDescent="0.2">
      <c r="A36" s="3" t="s">
        <v>515</v>
      </c>
      <c r="B36" t="s">
        <v>362</v>
      </c>
      <c r="C36" t="s">
        <v>75</v>
      </c>
      <c r="D36" t="s">
        <v>76</v>
      </c>
      <c r="E36" t="s">
        <v>365</v>
      </c>
      <c r="F36" t="s">
        <v>366</v>
      </c>
      <c r="G36" t="s">
        <v>186</v>
      </c>
      <c r="H36" t="s">
        <v>370</v>
      </c>
      <c r="K36" s="3">
        <v>2</v>
      </c>
      <c r="L36" s="3">
        <v>2</v>
      </c>
      <c r="M36" s="3" t="str">
        <f t="shared" si="0"/>
        <v>#3ac42d</v>
      </c>
      <c r="N36" s="3">
        <v>1</v>
      </c>
      <c r="O36" s="3">
        <v>1</v>
      </c>
      <c r="Q36" s="13" t="s">
        <v>443</v>
      </c>
      <c r="R36" t="s">
        <v>156</v>
      </c>
      <c r="S36" t="s">
        <v>418</v>
      </c>
      <c r="T36" s="18" t="s">
        <v>463</v>
      </c>
    </row>
    <row r="37" spans="1:20" x14ac:dyDescent="0.2">
      <c r="A37" s="3" t="s">
        <v>516</v>
      </c>
      <c r="B37" t="s">
        <v>362</v>
      </c>
      <c r="C37" t="s">
        <v>75</v>
      </c>
      <c r="D37" t="s">
        <v>76</v>
      </c>
      <c r="E37" t="s">
        <v>365</v>
      </c>
      <c r="F37" t="s">
        <v>366</v>
      </c>
      <c r="G37" t="s">
        <v>186</v>
      </c>
      <c r="H37" t="s">
        <v>367</v>
      </c>
      <c r="K37" s="3">
        <v>2</v>
      </c>
      <c r="L37" s="3">
        <v>2</v>
      </c>
      <c r="M37" s="3" t="str">
        <f t="shared" si="0"/>
        <v>#3ac42d</v>
      </c>
      <c r="N37" s="3">
        <v>1</v>
      </c>
      <c r="O37" s="3">
        <v>1</v>
      </c>
      <c r="Q37" s="13" t="s">
        <v>444</v>
      </c>
      <c r="R37" t="s">
        <v>157</v>
      </c>
      <c r="S37" t="s">
        <v>418</v>
      </c>
      <c r="T37" s="18" t="s">
        <v>463</v>
      </c>
    </row>
    <row r="38" spans="1:20" x14ac:dyDescent="0.2">
      <c r="A38" s="3" t="s">
        <v>517</v>
      </c>
      <c r="B38" t="s">
        <v>362</v>
      </c>
      <c r="C38" t="s">
        <v>75</v>
      </c>
      <c r="D38" t="s">
        <v>76</v>
      </c>
      <c r="E38" t="s">
        <v>365</v>
      </c>
      <c r="F38" t="s">
        <v>366</v>
      </c>
      <c r="G38" t="s">
        <v>186</v>
      </c>
      <c r="H38" t="s">
        <v>389</v>
      </c>
      <c r="K38" s="3">
        <v>2</v>
      </c>
      <c r="L38" s="3">
        <v>2</v>
      </c>
      <c r="M38" s="3" t="str">
        <f t="shared" si="0"/>
        <v>#3ac42d</v>
      </c>
      <c r="N38" s="3">
        <v>1</v>
      </c>
      <c r="O38" s="3">
        <v>1</v>
      </c>
      <c r="Q38" s="13" t="s">
        <v>380</v>
      </c>
      <c r="R38" t="s">
        <v>172</v>
      </c>
      <c r="S38" t="s">
        <v>422</v>
      </c>
      <c r="T38" s="18" t="s">
        <v>460</v>
      </c>
    </row>
    <row r="39" spans="1:20" x14ac:dyDescent="0.2">
      <c r="A39" s="3" t="s">
        <v>518</v>
      </c>
      <c r="B39" t="s">
        <v>411</v>
      </c>
      <c r="C39" t="s">
        <v>363</v>
      </c>
      <c r="D39" t="s">
        <v>364</v>
      </c>
      <c r="E39" t="s">
        <v>365</v>
      </c>
      <c r="F39" t="s">
        <v>366</v>
      </c>
      <c r="G39" t="s">
        <v>412</v>
      </c>
      <c r="H39" t="s">
        <v>557</v>
      </c>
      <c r="I39" t="s">
        <v>370</v>
      </c>
      <c r="K39" s="3">
        <v>2</v>
      </c>
      <c r="L39" s="3">
        <v>2</v>
      </c>
      <c r="M39" s="3" t="str">
        <f t="shared" si="0"/>
        <v>#d47a0d</v>
      </c>
      <c r="N39" s="3">
        <v>1</v>
      </c>
      <c r="O39" s="3">
        <v>1</v>
      </c>
      <c r="Q39" s="13" t="s">
        <v>368</v>
      </c>
      <c r="R39" t="s">
        <v>173</v>
      </c>
      <c r="S39" t="s">
        <v>423</v>
      </c>
      <c r="T39" s="18" t="s">
        <v>465</v>
      </c>
    </row>
    <row r="40" spans="1:20" x14ac:dyDescent="0.2">
      <c r="A40" s="3" t="s">
        <v>519</v>
      </c>
      <c r="B40" t="s">
        <v>411</v>
      </c>
      <c r="C40" t="s">
        <v>363</v>
      </c>
      <c r="D40" t="s">
        <v>364</v>
      </c>
      <c r="E40" t="s">
        <v>365</v>
      </c>
      <c r="F40" t="s">
        <v>366</v>
      </c>
      <c r="G40" t="s">
        <v>412</v>
      </c>
      <c r="H40" t="s">
        <v>557</v>
      </c>
      <c r="I40" t="s">
        <v>367</v>
      </c>
      <c r="K40" s="3">
        <v>2</v>
      </c>
      <c r="L40" s="3">
        <v>2</v>
      </c>
      <c r="M40" s="3" t="str">
        <f t="shared" si="0"/>
        <v>#d47a0d</v>
      </c>
      <c r="N40" s="3">
        <v>1</v>
      </c>
      <c r="O40" s="3">
        <v>1</v>
      </c>
      <c r="Q40" s="13" t="s">
        <v>390</v>
      </c>
      <c r="R40" t="s">
        <v>174</v>
      </c>
      <c r="S40" t="s">
        <v>424</v>
      </c>
      <c r="T40" s="18" t="s">
        <v>464</v>
      </c>
    </row>
    <row r="41" spans="1:20" x14ac:dyDescent="0.2">
      <c r="A41" s="3" t="s">
        <v>520</v>
      </c>
      <c r="B41" t="s">
        <v>411</v>
      </c>
      <c r="C41" t="s">
        <v>79</v>
      </c>
      <c r="D41" t="s">
        <v>73</v>
      </c>
      <c r="E41" t="s">
        <v>365</v>
      </c>
      <c r="F41" t="s">
        <v>366</v>
      </c>
      <c r="G41" t="s">
        <v>412</v>
      </c>
      <c r="H41" t="s">
        <v>557</v>
      </c>
      <c r="I41" t="s">
        <v>367</v>
      </c>
      <c r="K41" s="3">
        <v>2</v>
      </c>
      <c r="L41" s="3">
        <v>2</v>
      </c>
      <c r="M41" s="3" t="str">
        <f t="shared" si="0"/>
        <v>#1e8449</v>
      </c>
      <c r="N41" s="3">
        <v>1</v>
      </c>
      <c r="O41" s="3">
        <v>1</v>
      </c>
      <c r="Q41" s="13" t="s">
        <v>380</v>
      </c>
      <c r="R41" t="s">
        <v>175</v>
      </c>
      <c r="S41" t="s">
        <v>422</v>
      </c>
      <c r="T41" s="18" t="s">
        <v>460</v>
      </c>
    </row>
    <row r="42" spans="1:20" x14ac:dyDescent="0.2">
      <c r="A42" s="3" t="s">
        <v>521</v>
      </c>
      <c r="B42" t="s">
        <v>411</v>
      </c>
      <c r="C42" t="s">
        <v>77</v>
      </c>
      <c r="D42" t="s">
        <v>71</v>
      </c>
      <c r="E42" t="s">
        <v>365</v>
      </c>
      <c r="F42" t="s">
        <v>366</v>
      </c>
      <c r="G42" t="s">
        <v>412</v>
      </c>
      <c r="H42" t="s">
        <v>557</v>
      </c>
      <c r="I42" t="s">
        <v>367</v>
      </c>
      <c r="K42" s="3">
        <v>2</v>
      </c>
      <c r="L42" s="3">
        <v>2</v>
      </c>
      <c r="M42" s="3" t="str">
        <f t="shared" si="0"/>
        <v>#0f4426</v>
      </c>
      <c r="N42" s="3">
        <v>1</v>
      </c>
      <c r="O42" s="3">
        <v>1</v>
      </c>
      <c r="Q42" s="13" t="s">
        <v>371</v>
      </c>
      <c r="R42" t="s">
        <v>232</v>
      </c>
      <c r="S42" t="s">
        <v>425</v>
      </c>
      <c r="T42" s="18" t="s">
        <v>456</v>
      </c>
    </row>
    <row r="43" spans="1:20" x14ac:dyDescent="0.2">
      <c r="A43" s="3" t="s">
        <v>522</v>
      </c>
      <c r="B43" t="s">
        <v>411</v>
      </c>
      <c r="C43" t="s">
        <v>363</v>
      </c>
      <c r="D43" t="s">
        <v>378</v>
      </c>
      <c r="E43" t="s">
        <v>379</v>
      </c>
      <c r="F43" t="s">
        <v>378</v>
      </c>
      <c r="G43" t="s">
        <v>365</v>
      </c>
      <c r="H43" t="s">
        <v>366</v>
      </c>
      <c r="I43" t="s">
        <v>412</v>
      </c>
      <c r="J43" t="s">
        <v>557</v>
      </c>
      <c r="K43" s="3">
        <v>2</v>
      </c>
      <c r="L43" s="3">
        <v>2</v>
      </c>
      <c r="M43" s="3" t="str">
        <f t="shared" si="0"/>
        <v>#d47a0d</v>
      </c>
      <c r="N43" s="3">
        <v>1</v>
      </c>
      <c r="O43" s="3">
        <v>1</v>
      </c>
      <c r="Q43" s="13" t="s">
        <v>392</v>
      </c>
      <c r="R43" t="s">
        <v>233</v>
      </c>
      <c r="S43" t="s">
        <v>425</v>
      </c>
      <c r="T43" s="18" t="s">
        <v>456</v>
      </c>
    </row>
    <row r="44" spans="1:20" x14ac:dyDescent="0.2">
      <c r="A44" s="3" t="s">
        <v>523</v>
      </c>
      <c r="B44" t="s">
        <v>411</v>
      </c>
      <c r="C44" t="s">
        <v>368</v>
      </c>
      <c r="D44" t="s">
        <v>369</v>
      </c>
      <c r="E44" t="s">
        <v>365</v>
      </c>
      <c r="F44" t="s">
        <v>366</v>
      </c>
      <c r="G44" t="s">
        <v>412</v>
      </c>
      <c r="H44" t="s">
        <v>557</v>
      </c>
      <c r="I44" t="s">
        <v>367</v>
      </c>
      <c r="K44" s="3">
        <v>2</v>
      </c>
      <c r="L44" s="3">
        <v>2</v>
      </c>
      <c r="M44" s="3" t="str">
        <f t="shared" si="0"/>
        <v>#c2150b</v>
      </c>
      <c r="N44" s="3">
        <v>1</v>
      </c>
      <c r="O44" s="3">
        <v>1</v>
      </c>
      <c r="Q44" s="13" t="s">
        <v>383</v>
      </c>
      <c r="R44" t="s">
        <v>234</v>
      </c>
      <c r="S44" t="s">
        <v>425</v>
      </c>
      <c r="T44" s="18" t="s">
        <v>456</v>
      </c>
    </row>
    <row r="45" spans="1:20" x14ac:dyDescent="0.2">
      <c r="A45" s="3" t="s">
        <v>524</v>
      </c>
      <c r="B45" t="s">
        <v>411</v>
      </c>
      <c r="C45" t="s">
        <v>394</v>
      </c>
      <c r="D45" t="s">
        <v>377</v>
      </c>
      <c r="E45" t="s">
        <v>365</v>
      </c>
      <c r="F45" t="s">
        <v>366</v>
      </c>
      <c r="G45" t="s">
        <v>412</v>
      </c>
      <c r="H45" t="s">
        <v>557</v>
      </c>
      <c r="I45" t="s">
        <v>370</v>
      </c>
      <c r="K45" s="3">
        <v>2</v>
      </c>
      <c r="L45" s="3">
        <v>2</v>
      </c>
      <c r="M45" s="3" t="str">
        <f t="shared" si="0"/>
        <v>#3ac42d</v>
      </c>
      <c r="N45" s="3">
        <v>1</v>
      </c>
      <c r="O45" s="3">
        <v>1</v>
      </c>
      <c r="Q45" s="13" t="s">
        <v>373</v>
      </c>
      <c r="R45" t="s">
        <v>235</v>
      </c>
      <c r="S45" t="s">
        <v>426</v>
      </c>
      <c r="T45" s="18" t="s">
        <v>458</v>
      </c>
    </row>
    <row r="46" spans="1:20" x14ac:dyDescent="0.2">
      <c r="A46" s="3" t="s">
        <v>525</v>
      </c>
      <c r="B46" t="s">
        <v>411</v>
      </c>
      <c r="C46" t="s">
        <v>394</v>
      </c>
      <c r="D46" t="s">
        <v>377</v>
      </c>
      <c r="E46" t="s">
        <v>365</v>
      </c>
      <c r="F46" t="s">
        <v>366</v>
      </c>
      <c r="G46" t="s">
        <v>412</v>
      </c>
      <c r="H46" t="s">
        <v>557</v>
      </c>
      <c r="I46" t="s">
        <v>367</v>
      </c>
      <c r="K46" s="3">
        <v>2</v>
      </c>
      <c r="L46" s="3">
        <v>2</v>
      </c>
      <c r="M46" s="3" t="str">
        <f t="shared" si="0"/>
        <v>#3ac42d</v>
      </c>
      <c r="N46" s="3">
        <v>1</v>
      </c>
      <c r="O46" s="3">
        <v>1</v>
      </c>
      <c r="Q46" s="13" t="s">
        <v>445</v>
      </c>
      <c r="R46" t="s">
        <v>236</v>
      </c>
      <c r="S46" t="s">
        <v>427</v>
      </c>
      <c r="T46" s="18" t="s">
        <v>459</v>
      </c>
    </row>
    <row r="47" spans="1:20" x14ac:dyDescent="0.2">
      <c r="A47" s="3" t="s">
        <v>526</v>
      </c>
      <c r="B47" t="s">
        <v>411</v>
      </c>
      <c r="C47" t="s">
        <v>380</v>
      </c>
      <c r="D47" t="s">
        <v>382</v>
      </c>
      <c r="E47" t="s">
        <v>365</v>
      </c>
      <c r="F47" t="s">
        <v>366</v>
      </c>
      <c r="G47" t="s">
        <v>412</v>
      </c>
      <c r="H47" t="s">
        <v>557</v>
      </c>
      <c r="I47" t="s">
        <v>367</v>
      </c>
      <c r="K47" s="3">
        <v>2</v>
      </c>
      <c r="L47" s="3">
        <v>2</v>
      </c>
      <c r="M47" s="3" t="str">
        <f t="shared" si="0"/>
        <v>#784507</v>
      </c>
      <c r="N47" s="3">
        <v>1</v>
      </c>
      <c r="O47" s="3">
        <v>1</v>
      </c>
      <c r="Q47" s="13" t="s">
        <v>446</v>
      </c>
      <c r="R47" t="s">
        <v>237</v>
      </c>
      <c r="S47" t="s">
        <v>427</v>
      </c>
      <c r="T47" s="18" t="s">
        <v>459</v>
      </c>
    </row>
    <row r="48" spans="1:20" x14ac:dyDescent="0.2">
      <c r="A48" s="3" t="s">
        <v>527</v>
      </c>
      <c r="B48" t="s">
        <v>411</v>
      </c>
      <c r="C48" t="s">
        <v>380</v>
      </c>
      <c r="D48" t="s">
        <v>381</v>
      </c>
      <c r="E48" t="s">
        <v>365</v>
      </c>
      <c r="F48" t="s">
        <v>366</v>
      </c>
      <c r="G48" t="s">
        <v>412</v>
      </c>
      <c r="H48" t="s">
        <v>557</v>
      </c>
      <c r="I48" t="s">
        <v>367</v>
      </c>
      <c r="K48" s="3">
        <v>2</v>
      </c>
      <c r="L48" s="3">
        <v>2</v>
      </c>
      <c r="M48" s="3" t="str">
        <f t="shared" si="0"/>
        <v>#784507</v>
      </c>
      <c r="N48" s="3">
        <v>1</v>
      </c>
      <c r="O48" s="3">
        <v>1</v>
      </c>
      <c r="Q48" s="13" t="s">
        <v>447</v>
      </c>
      <c r="R48" t="s">
        <v>238</v>
      </c>
      <c r="S48" t="s">
        <v>427</v>
      </c>
      <c r="T48" s="18" t="s">
        <v>459</v>
      </c>
    </row>
    <row r="49" spans="1:20" x14ac:dyDescent="0.2">
      <c r="A49" s="3" t="s">
        <v>528</v>
      </c>
      <c r="B49" t="s">
        <v>411</v>
      </c>
      <c r="C49" t="s">
        <v>390</v>
      </c>
      <c r="D49" t="s">
        <v>391</v>
      </c>
      <c r="E49" t="s">
        <v>365</v>
      </c>
      <c r="F49" t="s">
        <v>366</v>
      </c>
      <c r="G49" t="s">
        <v>412</v>
      </c>
      <c r="H49" t="s">
        <v>557</v>
      </c>
      <c r="I49" t="s">
        <v>367</v>
      </c>
      <c r="K49" s="3">
        <v>2</v>
      </c>
      <c r="L49" s="3">
        <v>2</v>
      </c>
      <c r="M49" s="3" t="str">
        <f t="shared" si="0"/>
        <v>#780d07</v>
      </c>
      <c r="N49" s="3">
        <v>1</v>
      </c>
      <c r="O49" s="3">
        <v>1</v>
      </c>
      <c r="Q49" s="13" t="s">
        <v>448</v>
      </c>
      <c r="R49" t="s">
        <v>239</v>
      </c>
      <c r="S49" t="s">
        <v>427</v>
      </c>
      <c r="T49" s="18" t="s">
        <v>459</v>
      </c>
    </row>
    <row r="50" spans="1:20" x14ac:dyDescent="0.2">
      <c r="A50" s="3" t="s">
        <v>529</v>
      </c>
      <c r="B50" t="s">
        <v>411</v>
      </c>
      <c r="C50" t="s">
        <v>371</v>
      </c>
      <c r="D50" t="s">
        <v>372</v>
      </c>
      <c r="E50" t="s">
        <v>365</v>
      </c>
      <c r="F50" t="s">
        <v>366</v>
      </c>
      <c r="G50" t="s">
        <v>412</v>
      </c>
      <c r="H50" t="s">
        <v>557</v>
      </c>
      <c r="I50" t="s">
        <v>367</v>
      </c>
      <c r="K50" s="3">
        <v>2</v>
      </c>
      <c r="L50" s="3">
        <v>2</v>
      </c>
      <c r="M50" s="3" t="str">
        <f t="shared" si="0"/>
        <v>#492359</v>
      </c>
      <c r="N50" s="3">
        <v>1</v>
      </c>
      <c r="O50" s="3">
        <v>1</v>
      </c>
      <c r="Q50" s="13" t="s">
        <v>449</v>
      </c>
      <c r="R50" t="s">
        <v>240</v>
      </c>
      <c r="S50" t="s">
        <v>427</v>
      </c>
      <c r="T50" s="18" t="s">
        <v>459</v>
      </c>
    </row>
    <row r="51" spans="1:20" x14ac:dyDescent="0.2">
      <c r="A51" s="3" t="s">
        <v>530</v>
      </c>
      <c r="B51" t="s">
        <v>411</v>
      </c>
      <c r="C51" t="s">
        <v>392</v>
      </c>
      <c r="D51" t="s">
        <v>393</v>
      </c>
      <c r="E51" t="s">
        <v>365</v>
      </c>
      <c r="F51" t="s">
        <v>366</v>
      </c>
      <c r="G51" t="s">
        <v>412</v>
      </c>
      <c r="H51" t="s">
        <v>557</v>
      </c>
      <c r="I51" t="s">
        <v>367</v>
      </c>
      <c r="K51" s="3">
        <v>2</v>
      </c>
      <c r="L51" s="3">
        <v>2</v>
      </c>
      <c r="M51" s="3" t="str">
        <f t="shared" si="0"/>
        <v>#492359</v>
      </c>
      <c r="N51" s="3">
        <v>1</v>
      </c>
      <c r="O51" s="3">
        <v>1</v>
      </c>
      <c r="Q51" s="13" t="s">
        <v>450</v>
      </c>
      <c r="R51" t="s">
        <v>241</v>
      </c>
      <c r="S51" t="s">
        <v>427</v>
      </c>
      <c r="T51" s="18" t="s">
        <v>459</v>
      </c>
    </row>
    <row r="52" spans="1:20" x14ac:dyDescent="0.2">
      <c r="A52" s="3" t="s">
        <v>531</v>
      </c>
      <c r="B52" t="s">
        <v>411</v>
      </c>
      <c r="C52" t="s">
        <v>383</v>
      </c>
      <c r="D52" t="s">
        <v>384</v>
      </c>
      <c r="E52" t="s">
        <v>365</v>
      </c>
      <c r="F52" t="s">
        <v>366</v>
      </c>
      <c r="G52" t="s">
        <v>412</v>
      </c>
      <c r="H52" t="s">
        <v>557</v>
      </c>
      <c r="I52" t="s">
        <v>367</v>
      </c>
      <c r="K52" s="3">
        <v>2</v>
      </c>
      <c r="L52" s="3">
        <v>2</v>
      </c>
      <c r="M52" s="3" t="str">
        <f t="shared" si="0"/>
        <v>#492359</v>
      </c>
      <c r="N52" s="3">
        <v>1</v>
      </c>
      <c r="O52" s="3">
        <v>1</v>
      </c>
      <c r="Q52" s="13" t="s">
        <v>451</v>
      </c>
      <c r="R52" t="s">
        <v>242</v>
      </c>
      <c r="S52" t="s">
        <v>427</v>
      </c>
      <c r="T52" s="18" t="s">
        <v>459</v>
      </c>
    </row>
    <row r="53" spans="1:20" x14ac:dyDescent="0.2">
      <c r="A53" s="3" t="s">
        <v>532</v>
      </c>
      <c r="B53" t="s">
        <v>411</v>
      </c>
      <c r="C53" t="s">
        <v>373</v>
      </c>
      <c r="D53" t="s">
        <v>374</v>
      </c>
      <c r="E53" t="s">
        <v>365</v>
      </c>
      <c r="F53" t="s">
        <v>366</v>
      </c>
      <c r="G53" t="s">
        <v>412</v>
      </c>
      <c r="H53" t="s">
        <v>557</v>
      </c>
      <c r="I53" t="s">
        <v>367</v>
      </c>
      <c r="K53" s="3">
        <v>2</v>
      </c>
      <c r="L53" s="3">
        <v>2</v>
      </c>
      <c r="M53" s="3" t="str">
        <f t="shared" si="0"/>
        <v>#ad4498</v>
      </c>
      <c r="N53" s="3">
        <v>1</v>
      </c>
      <c r="O53" s="3">
        <v>1</v>
      </c>
      <c r="Q53" s="13" t="s">
        <v>452</v>
      </c>
      <c r="R53" t="s">
        <v>243</v>
      </c>
      <c r="S53" t="s">
        <v>427</v>
      </c>
      <c r="T53" s="18" t="s">
        <v>459</v>
      </c>
    </row>
    <row r="54" spans="1:20" x14ac:dyDescent="0.2">
      <c r="A54" s="3" t="s">
        <v>533</v>
      </c>
      <c r="B54" t="s">
        <v>411</v>
      </c>
      <c r="C54" t="s">
        <v>407</v>
      </c>
      <c r="D54" t="s">
        <v>408</v>
      </c>
      <c r="E54" t="s">
        <v>379</v>
      </c>
      <c r="F54" t="s">
        <v>408</v>
      </c>
      <c r="G54" t="s">
        <v>365</v>
      </c>
      <c r="H54" t="s">
        <v>366</v>
      </c>
      <c r="I54" t="s">
        <v>412</v>
      </c>
      <c r="J54" t="s">
        <v>557</v>
      </c>
      <c r="K54" s="3">
        <v>2</v>
      </c>
      <c r="L54" s="3">
        <v>2</v>
      </c>
      <c r="M54" s="3" t="str">
        <f t="shared" si="0"/>
        <v>#3ac42d</v>
      </c>
      <c r="N54" s="3">
        <v>1</v>
      </c>
      <c r="O54" s="3">
        <v>1</v>
      </c>
      <c r="Q54" s="13" t="s">
        <v>406</v>
      </c>
      <c r="R54" t="s">
        <v>244</v>
      </c>
      <c r="S54" t="s">
        <v>55</v>
      </c>
      <c r="T54" s="18" t="s">
        <v>466</v>
      </c>
    </row>
    <row r="55" spans="1:20" x14ac:dyDescent="0.2">
      <c r="A55" s="3" t="s">
        <v>534</v>
      </c>
      <c r="B55" t="s">
        <v>411</v>
      </c>
      <c r="C55" t="s">
        <v>399</v>
      </c>
      <c r="D55" t="s">
        <v>400</v>
      </c>
      <c r="E55" t="s">
        <v>365</v>
      </c>
      <c r="F55" t="s">
        <v>366</v>
      </c>
      <c r="G55" t="s">
        <v>412</v>
      </c>
      <c r="H55" t="s">
        <v>557</v>
      </c>
      <c r="I55" t="s">
        <v>367</v>
      </c>
      <c r="K55" s="3">
        <v>2</v>
      </c>
      <c r="L55" s="3">
        <v>2</v>
      </c>
      <c r="M55" s="3" t="str">
        <f t="shared" si="0"/>
        <v>#3ac42d</v>
      </c>
      <c r="N55" s="3">
        <v>1</v>
      </c>
      <c r="O55" s="3">
        <v>1</v>
      </c>
      <c r="Q55" s="13" t="s">
        <v>75</v>
      </c>
      <c r="R55" t="s">
        <v>245</v>
      </c>
      <c r="S55" t="s">
        <v>55</v>
      </c>
      <c r="T55" s="18" t="s">
        <v>466</v>
      </c>
    </row>
    <row r="56" spans="1:20" x14ac:dyDescent="0.2">
      <c r="A56" s="3" t="s">
        <v>535</v>
      </c>
      <c r="B56" t="s">
        <v>411</v>
      </c>
      <c r="C56" t="s">
        <v>385</v>
      </c>
      <c r="D56" t="s">
        <v>386</v>
      </c>
      <c r="E56" t="s">
        <v>365</v>
      </c>
      <c r="F56" t="s">
        <v>366</v>
      </c>
      <c r="G56" t="s">
        <v>412</v>
      </c>
      <c r="H56" t="s">
        <v>557</v>
      </c>
      <c r="I56" t="s">
        <v>367</v>
      </c>
      <c r="K56" s="3">
        <v>2</v>
      </c>
      <c r="L56" s="3">
        <v>2</v>
      </c>
      <c r="M56" s="3" t="str">
        <f t="shared" si="0"/>
        <v>#3ac42d</v>
      </c>
      <c r="N56" s="3">
        <v>1</v>
      </c>
      <c r="O56" s="3">
        <v>1</v>
      </c>
      <c r="Q56" s="13" t="s">
        <v>407</v>
      </c>
      <c r="R56" t="s">
        <v>246</v>
      </c>
      <c r="S56" t="s">
        <v>55</v>
      </c>
      <c r="T56" s="18" t="s">
        <v>466</v>
      </c>
    </row>
    <row r="57" spans="1:20" x14ac:dyDescent="0.2">
      <c r="A57" s="3" t="s">
        <v>536</v>
      </c>
      <c r="B57" t="s">
        <v>411</v>
      </c>
      <c r="C57" t="s">
        <v>375</v>
      </c>
      <c r="D57" t="s">
        <v>74</v>
      </c>
      <c r="E57" t="s">
        <v>365</v>
      </c>
      <c r="F57" t="s">
        <v>366</v>
      </c>
      <c r="G57" t="s">
        <v>412</v>
      </c>
      <c r="H57" t="s">
        <v>557</v>
      </c>
      <c r="I57" t="s">
        <v>367</v>
      </c>
      <c r="K57" s="3">
        <v>2</v>
      </c>
      <c r="L57" s="3">
        <v>2</v>
      </c>
      <c r="M57" s="3" t="str">
        <f t="shared" si="0"/>
        <v>#8c7209</v>
      </c>
      <c r="N57" s="3">
        <v>1</v>
      </c>
      <c r="O57" s="3">
        <v>1</v>
      </c>
      <c r="Q57" s="13" t="s">
        <v>399</v>
      </c>
      <c r="R57" t="s">
        <v>247</v>
      </c>
      <c r="S57" t="s">
        <v>55</v>
      </c>
      <c r="T57" s="18" t="s">
        <v>466</v>
      </c>
    </row>
    <row r="58" spans="1:20" x14ac:dyDescent="0.2">
      <c r="A58" s="3" t="s">
        <v>537</v>
      </c>
      <c r="B58" t="s">
        <v>411</v>
      </c>
      <c r="C58" t="s">
        <v>395</v>
      </c>
      <c r="D58" t="s">
        <v>396</v>
      </c>
      <c r="E58" t="s">
        <v>365</v>
      </c>
      <c r="F58" t="s">
        <v>366</v>
      </c>
      <c r="G58" t="s">
        <v>412</v>
      </c>
      <c r="H58" t="s">
        <v>557</v>
      </c>
      <c r="I58" t="s">
        <v>367</v>
      </c>
      <c r="K58" s="3">
        <v>2</v>
      </c>
      <c r="L58" s="3">
        <v>2</v>
      </c>
      <c r="M58" s="3" t="str">
        <f t="shared" si="0"/>
        <v>#8c7209</v>
      </c>
      <c r="N58" s="3">
        <v>1</v>
      </c>
      <c r="O58" s="3">
        <v>1</v>
      </c>
      <c r="Q58" s="13" t="s">
        <v>405</v>
      </c>
      <c r="R58" t="s">
        <v>248</v>
      </c>
      <c r="S58" t="s">
        <v>55</v>
      </c>
      <c r="T58" s="18" t="s">
        <v>466</v>
      </c>
    </row>
    <row r="59" spans="1:20" x14ac:dyDescent="0.2">
      <c r="A59" s="3" t="s">
        <v>538</v>
      </c>
      <c r="B59" t="s">
        <v>411</v>
      </c>
      <c r="C59" t="s">
        <v>401</v>
      </c>
      <c r="D59" t="s">
        <v>402</v>
      </c>
      <c r="E59" t="s">
        <v>365</v>
      </c>
      <c r="F59" t="s">
        <v>366</v>
      </c>
      <c r="G59" t="s">
        <v>412</v>
      </c>
      <c r="H59" t="s">
        <v>557</v>
      </c>
      <c r="I59" t="s">
        <v>367</v>
      </c>
      <c r="K59" s="3">
        <v>2</v>
      </c>
      <c r="L59" s="3">
        <v>2</v>
      </c>
      <c r="M59" s="3" t="str">
        <f t="shared" si="0"/>
        <v>#8c7209</v>
      </c>
      <c r="N59" s="3">
        <v>1</v>
      </c>
      <c r="O59" s="3">
        <v>1</v>
      </c>
      <c r="Q59" s="13" t="s">
        <v>394</v>
      </c>
      <c r="R59" t="s">
        <v>249</v>
      </c>
      <c r="S59" t="s">
        <v>55</v>
      </c>
      <c r="T59" s="18" t="s">
        <v>466</v>
      </c>
    </row>
    <row r="60" spans="1:20" x14ac:dyDescent="0.2">
      <c r="A60" s="3" t="s">
        <v>539</v>
      </c>
      <c r="B60" t="s">
        <v>411</v>
      </c>
      <c r="C60" t="s">
        <v>387</v>
      </c>
      <c r="D60" t="s">
        <v>388</v>
      </c>
      <c r="E60" t="s">
        <v>365</v>
      </c>
      <c r="F60" t="s">
        <v>366</v>
      </c>
      <c r="G60" t="s">
        <v>412</v>
      </c>
      <c r="H60" t="s">
        <v>557</v>
      </c>
      <c r="I60" t="s">
        <v>367</v>
      </c>
      <c r="K60" s="3">
        <v>2</v>
      </c>
      <c r="L60" s="3">
        <v>2</v>
      </c>
      <c r="M60" s="3" t="str">
        <f t="shared" si="0"/>
        <v>#8c7209</v>
      </c>
      <c r="N60" s="3">
        <v>1</v>
      </c>
      <c r="O60" s="3">
        <v>1</v>
      </c>
      <c r="Q60" s="13" t="s">
        <v>385</v>
      </c>
      <c r="R60" t="s">
        <v>250</v>
      </c>
      <c r="S60" t="s">
        <v>55</v>
      </c>
      <c r="T60" s="18" t="s">
        <v>466</v>
      </c>
    </row>
    <row r="61" spans="1:20" x14ac:dyDescent="0.2">
      <c r="A61" s="3" t="s">
        <v>540</v>
      </c>
      <c r="B61" t="s">
        <v>411</v>
      </c>
      <c r="C61" t="s">
        <v>376</v>
      </c>
      <c r="D61" t="s">
        <v>377</v>
      </c>
      <c r="E61" t="s">
        <v>365</v>
      </c>
      <c r="F61" t="s">
        <v>366</v>
      </c>
      <c r="G61" t="s">
        <v>412</v>
      </c>
      <c r="H61" t="s">
        <v>557</v>
      </c>
      <c r="I61" t="s">
        <v>367</v>
      </c>
      <c r="K61" s="3">
        <v>2</v>
      </c>
      <c r="L61" s="3">
        <v>2</v>
      </c>
      <c r="M61" s="3" t="str">
        <f t="shared" si="0"/>
        <v>#8c7209</v>
      </c>
      <c r="N61" s="3">
        <v>1</v>
      </c>
      <c r="O61" s="3">
        <v>1</v>
      </c>
      <c r="Q61" s="13" t="s">
        <v>375</v>
      </c>
      <c r="R61" t="s">
        <v>267</v>
      </c>
      <c r="S61" t="s">
        <v>428</v>
      </c>
      <c r="T61" s="18" t="s">
        <v>462</v>
      </c>
    </row>
    <row r="62" spans="1:20" x14ac:dyDescent="0.2">
      <c r="A62" s="3" t="s">
        <v>541</v>
      </c>
      <c r="B62" t="s">
        <v>411</v>
      </c>
      <c r="C62" t="s">
        <v>397</v>
      </c>
      <c r="D62" t="s">
        <v>398</v>
      </c>
      <c r="E62" t="s">
        <v>365</v>
      </c>
      <c r="F62" t="s">
        <v>366</v>
      </c>
      <c r="G62" t="s">
        <v>412</v>
      </c>
      <c r="H62" t="s">
        <v>557</v>
      </c>
      <c r="I62" t="s">
        <v>367</v>
      </c>
      <c r="K62" s="3">
        <v>2</v>
      </c>
      <c r="L62" s="3">
        <v>2</v>
      </c>
      <c r="M62" s="3" t="str">
        <f t="shared" si="0"/>
        <v>#8c7209</v>
      </c>
      <c r="N62" s="3">
        <v>1</v>
      </c>
      <c r="O62" s="3">
        <v>1</v>
      </c>
      <c r="Q62" s="13" t="s">
        <v>395</v>
      </c>
      <c r="R62" t="s">
        <v>268</v>
      </c>
      <c r="S62" t="s">
        <v>428</v>
      </c>
      <c r="T62" s="18" t="s">
        <v>462</v>
      </c>
    </row>
    <row r="63" spans="1:20" x14ac:dyDescent="0.2">
      <c r="A63" s="3" t="s">
        <v>542</v>
      </c>
      <c r="B63" t="s">
        <v>411</v>
      </c>
      <c r="C63" t="s">
        <v>405</v>
      </c>
      <c r="D63" t="s">
        <v>72</v>
      </c>
      <c r="E63" t="s">
        <v>365</v>
      </c>
      <c r="F63" t="s">
        <v>366</v>
      </c>
      <c r="G63" t="s">
        <v>412</v>
      </c>
      <c r="H63" t="s">
        <v>557</v>
      </c>
      <c r="I63" t="s">
        <v>367</v>
      </c>
      <c r="K63" s="3">
        <v>2</v>
      </c>
      <c r="L63" s="3">
        <v>2</v>
      </c>
      <c r="M63" s="3" t="str">
        <f t="shared" si="0"/>
        <v>#3ac42d</v>
      </c>
      <c r="N63" s="3">
        <v>1</v>
      </c>
      <c r="O63" s="3">
        <v>1</v>
      </c>
      <c r="Q63" s="13" t="s">
        <v>401</v>
      </c>
      <c r="R63" t="s">
        <v>269</v>
      </c>
      <c r="S63" t="s">
        <v>428</v>
      </c>
      <c r="T63" s="18" t="s">
        <v>462</v>
      </c>
    </row>
    <row r="64" spans="1:20" x14ac:dyDescent="0.2">
      <c r="A64" s="3" t="s">
        <v>543</v>
      </c>
      <c r="B64" t="s">
        <v>411</v>
      </c>
      <c r="C64" t="s">
        <v>403</v>
      </c>
      <c r="D64" t="s">
        <v>404</v>
      </c>
      <c r="E64" t="s">
        <v>365</v>
      </c>
      <c r="F64" t="s">
        <v>366</v>
      </c>
      <c r="G64" t="s">
        <v>412</v>
      </c>
      <c r="H64" t="s">
        <v>557</v>
      </c>
      <c r="I64" t="s">
        <v>367</v>
      </c>
      <c r="K64" s="3">
        <v>2</v>
      </c>
      <c r="L64" s="3">
        <v>2</v>
      </c>
      <c r="M64" s="3" t="str">
        <f t="shared" si="0"/>
        <v>#8c7209</v>
      </c>
      <c r="N64" s="3">
        <v>1</v>
      </c>
      <c r="O64" s="3">
        <v>1</v>
      </c>
      <c r="Q64" s="13" t="s">
        <v>409</v>
      </c>
      <c r="R64" t="s">
        <v>270</v>
      </c>
      <c r="S64" t="s">
        <v>428</v>
      </c>
      <c r="T64" s="18" t="s">
        <v>462</v>
      </c>
    </row>
    <row r="65" spans="1:20" x14ac:dyDescent="0.2">
      <c r="A65" s="3" t="s">
        <v>544</v>
      </c>
      <c r="B65" t="s">
        <v>411</v>
      </c>
      <c r="C65" t="s">
        <v>406</v>
      </c>
      <c r="D65" t="s">
        <v>74</v>
      </c>
      <c r="E65" t="s">
        <v>365</v>
      </c>
      <c r="F65" t="s">
        <v>366</v>
      </c>
      <c r="G65" t="s">
        <v>412</v>
      </c>
      <c r="H65" t="s">
        <v>557</v>
      </c>
      <c r="I65" t="s">
        <v>555</v>
      </c>
      <c r="K65" s="3">
        <v>2</v>
      </c>
      <c r="L65" s="3">
        <v>2</v>
      </c>
      <c r="M65" s="3" t="str">
        <f t="shared" si="0"/>
        <v>#3ac42d</v>
      </c>
      <c r="N65" s="3">
        <v>1</v>
      </c>
      <c r="O65" s="3">
        <v>1</v>
      </c>
      <c r="Q65" s="13" t="s">
        <v>387</v>
      </c>
      <c r="R65" t="s">
        <v>271</v>
      </c>
      <c r="S65" t="s">
        <v>428</v>
      </c>
      <c r="T65" s="18" t="s">
        <v>462</v>
      </c>
    </row>
    <row r="66" spans="1:20" x14ac:dyDescent="0.2">
      <c r="A66" s="3" t="s">
        <v>545</v>
      </c>
      <c r="B66" t="s">
        <v>411</v>
      </c>
      <c r="C66" t="s">
        <v>406</v>
      </c>
      <c r="D66" t="s">
        <v>74</v>
      </c>
      <c r="E66" t="s">
        <v>365</v>
      </c>
      <c r="F66" t="s">
        <v>366</v>
      </c>
      <c r="G66" t="s">
        <v>412</v>
      </c>
      <c r="H66" t="s">
        <v>557</v>
      </c>
      <c r="I66" t="s">
        <v>367</v>
      </c>
      <c r="K66" s="3">
        <v>2</v>
      </c>
      <c r="L66" s="3">
        <v>2</v>
      </c>
      <c r="M66" s="3" t="str">
        <f t="shared" si="0"/>
        <v>#3ac42d</v>
      </c>
      <c r="N66" s="3">
        <v>1</v>
      </c>
      <c r="O66" s="3">
        <v>1</v>
      </c>
      <c r="Q66" s="13" t="s">
        <v>376</v>
      </c>
      <c r="R66" t="s">
        <v>272</v>
      </c>
      <c r="S66" t="s">
        <v>428</v>
      </c>
      <c r="T66" s="18" t="s">
        <v>462</v>
      </c>
    </row>
    <row r="67" spans="1:20" x14ac:dyDescent="0.2">
      <c r="A67" s="3" t="s">
        <v>546</v>
      </c>
      <c r="B67" t="s">
        <v>411</v>
      </c>
      <c r="C67" t="s">
        <v>406</v>
      </c>
      <c r="D67" t="s">
        <v>74</v>
      </c>
      <c r="E67" t="s">
        <v>365</v>
      </c>
      <c r="F67" t="s">
        <v>366</v>
      </c>
      <c r="G67" t="s">
        <v>412</v>
      </c>
      <c r="H67" t="s">
        <v>557</v>
      </c>
      <c r="I67" t="s">
        <v>389</v>
      </c>
      <c r="K67" s="3">
        <v>2</v>
      </c>
      <c r="L67" s="3">
        <v>2</v>
      </c>
      <c r="M67" s="3" t="str">
        <f t="shared" ref="M67:M86" si="1">VLOOKUP(C67,$Q$2:$T$70,4,FALSE)</f>
        <v>#3ac42d</v>
      </c>
      <c r="N67" s="3">
        <v>1</v>
      </c>
      <c r="O67" s="3">
        <v>1</v>
      </c>
      <c r="Q67" s="13" t="s">
        <v>403</v>
      </c>
      <c r="R67" t="s">
        <v>273</v>
      </c>
      <c r="S67" t="s">
        <v>428</v>
      </c>
      <c r="T67" s="18" t="s">
        <v>462</v>
      </c>
    </row>
    <row r="68" spans="1:20" x14ac:dyDescent="0.2">
      <c r="A68" s="3" t="s">
        <v>547</v>
      </c>
      <c r="B68" t="s">
        <v>411</v>
      </c>
      <c r="C68" t="s">
        <v>406</v>
      </c>
      <c r="D68" t="s">
        <v>74</v>
      </c>
      <c r="E68" t="s">
        <v>365</v>
      </c>
      <c r="F68" t="s">
        <v>366</v>
      </c>
      <c r="G68" t="s">
        <v>412</v>
      </c>
      <c r="H68" t="s">
        <v>557</v>
      </c>
      <c r="I68" t="s">
        <v>556</v>
      </c>
      <c r="K68" s="3">
        <v>2</v>
      </c>
      <c r="L68" s="3">
        <v>2</v>
      </c>
      <c r="M68" s="3" t="str">
        <f t="shared" si="1"/>
        <v>#3ac42d</v>
      </c>
      <c r="N68" s="3">
        <v>1</v>
      </c>
      <c r="O68" s="3">
        <v>1</v>
      </c>
      <c r="Q68" s="13" t="s">
        <v>397</v>
      </c>
      <c r="R68" t="s">
        <v>274</v>
      </c>
      <c r="S68" t="s">
        <v>428</v>
      </c>
      <c r="T68" s="18" t="s">
        <v>462</v>
      </c>
    </row>
    <row r="69" spans="1:20" x14ac:dyDescent="0.2">
      <c r="A69" s="3" t="s">
        <v>548</v>
      </c>
      <c r="B69" t="s">
        <v>411</v>
      </c>
      <c r="C69" t="s">
        <v>406</v>
      </c>
      <c r="D69" t="s">
        <v>74</v>
      </c>
      <c r="E69" t="s">
        <v>365</v>
      </c>
      <c r="F69" t="s">
        <v>366</v>
      </c>
      <c r="G69" t="s">
        <v>412</v>
      </c>
      <c r="H69" t="s">
        <v>557</v>
      </c>
      <c r="I69" t="s">
        <v>370</v>
      </c>
      <c r="K69" s="3">
        <v>2</v>
      </c>
      <c r="L69" s="3">
        <v>2</v>
      </c>
      <c r="M69" s="3" t="str">
        <f t="shared" si="1"/>
        <v>#3ac42d</v>
      </c>
      <c r="N69" s="3">
        <v>1</v>
      </c>
      <c r="O69" s="3">
        <v>1</v>
      </c>
      <c r="Q69" s="13" t="s">
        <v>469</v>
      </c>
      <c r="R69" t="s">
        <v>468</v>
      </c>
      <c r="S69" t="s">
        <v>55</v>
      </c>
      <c r="T69" s="18" t="s">
        <v>466</v>
      </c>
    </row>
    <row r="70" spans="1:20" x14ac:dyDescent="0.2">
      <c r="A70" s="3" t="s">
        <v>549</v>
      </c>
      <c r="B70" t="s">
        <v>411</v>
      </c>
      <c r="C70" t="s">
        <v>409</v>
      </c>
      <c r="D70" t="s">
        <v>410</v>
      </c>
      <c r="E70" t="s">
        <v>365</v>
      </c>
      <c r="F70" t="s">
        <v>366</v>
      </c>
      <c r="G70" t="s">
        <v>412</v>
      </c>
      <c r="H70" t="s">
        <v>557</v>
      </c>
      <c r="I70" t="s">
        <v>367</v>
      </c>
      <c r="K70" s="3">
        <v>2</v>
      </c>
      <c r="L70" s="3">
        <v>2</v>
      </c>
      <c r="M70" s="3" t="str">
        <f t="shared" si="1"/>
        <v>#8c7209</v>
      </c>
      <c r="N70" s="3">
        <v>1</v>
      </c>
      <c r="O70" s="3">
        <v>1</v>
      </c>
      <c r="Q70" s="19" t="s">
        <v>470</v>
      </c>
      <c r="R70" s="10" t="s">
        <v>467</v>
      </c>
      <c r="S70" s="10" t="s">
        <v>56</v>
      </c>
      <c r="T70" s="20" t="s">
        <v>457</v>
      </c>
    </row>
    <row r="71" spans="1:20" x14ac:dyDescent="0.2">
      <c r="A71" s="3" t="s">
        <v>550</v>
      </c>
      <c r="B71" t="s">
        <v>411</v>
      </c>
      <c r="C71" t="s">
        <v>75</v>
      </c>
      <c r="D71" t="s">
        <v>76</v>
      </c>
      <c r="E71" t="s">
        <v>365</v>
      </c>
      <c r="F71" t="s">
        <v>366</v>
      </c>
      <c r="G71" t="s">
        <v>412</v>
      </c>
      <c r="H71" t="s">
        <v>557</v>
      </c>
      <c r="I71" t="s">
        <v>389</v>
      </c>
      <c r="K71" s="3">
        <v>2</v>
      </c>
      <c r="L71" s="3">
        <v>2</v>
      </c>
      <c r="M71" s="3" t="str">
        <f t="shared" si="1"/>
        <v>#3ac42d</v>
      </c>
      <c r="N71" s="3">
        <v>1</v>
      </c>
      <c r="O71" s="3">
        <v>1</v>
      </c>
    </row>
    <row r="72" spans="1:20" x14ac:dyDescent="0.2">
      <c r="A72" s="3" t="s">
        <v>551</v>
      </c>
      <c r="B72" t="s">
        <v>411</v>
      </c>
      <c r="C72" t="s">
        <v>75</v>
      </c>
      <c r="D72" t="s">
        <v>76</v>
      </c>
      <c r="E72" t="s">
        <v>365</v>
      </c>
      <c r="F72" t="s">
        <v>366</v>
      </c>
      <c r="G72" t="s">
        <v>412</v>
      </c>
      <c r="H72" t="s">
        <v>557</v>
      </c>
      <c r="I72" t="s">
        <v>370</v>
      </c>
      <c r="K72" s="3">
        <v>2</v>
      </c>
      <c r="L72" s="3">
        <v>2</v>
      </c>
      <c r="M72" s="3" t="str">
        <f t="shared" si="1"/>
        <v>#3ac42d</v>
      </c>
      <c r="N72" s="3">
        <v>1</v>
      </c>
      <c r="O72" s="3">
        <v>1</v>
      </c>
    </row>
    <row r="73" spans="1:20" x14ac:dyDescent="0.2">
      <c r="A73" s="3" t="s">
        <v>552</v>
      </c>
      <c r="B73" t="s">
        <v>411</v>
      </c>
      <c r="C73" t="s">
        <v>75</v>
      </c>
      <c r="D73" t="s">
        <v>76</v>
      </c>
      <c r="E73" t="s">
        <v>365</v>
      </c>
      <c r="F73" t="s">
        <v>366</v>
      </c>
      <c r="G73" t="s">
        <v>412</v>
      </c>
      <c r="H73" t="s">
        <v>557</v>
      </c>
      <c r="I73" t="s">
        <v>367</v>
      </c>
      <c r="K73" s="3">
        <v>2</v>
      </c>
      <c r="L73" s="3">
        <v>2</v>
      </c>
      <c r="M73" s="3" t="str">
        <f t="shared" si="1"/>
        <v>#3ac42d</v>
      </c>
      <c r="N73" s="3">
        <v>1</v>
      </c>
      <c r="O73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CF7C-7E4C-074A-9485-AA7F6DF95154}">
  <dimension ref="A1:G73"/>
  <sheetViews>
    <sheetView tabSelected="1" workbookViewId="0">
      <selection activeCell="O16" sqref="O16"/>
    </sheetView>
  </sheetViews>
  <sheetFormatPr baseColWidth="10" defaultRowHeight="16" x14ac:dyDescent="0.2"/>
  <cols>
    <col min="1" max="1" width="78.83203125" style="3" bestFit="1" customWidth="1"/>
    <col min="2" max="7" width="10.83203125" style="3"/>
  </cols>
  <sheetData>
    <row r="1" spans="1:6" x14ac:dyDescent="0.2">
      <c r="D1" s="3" t="s">
        <v>430</v>
      </c>
    </row>
    <row r="2" spans="1:6" x14ac:dyDescent="0.2">
      <c r="A2" s="3" t="s">
        <v>481</v>
      </c>
      <c r="B2" s="3">
        <v>2</v>
      </c>
      <c r="C2" s="3">
        <v>2</v>
      </c>
      <c r="D2" s="3" t="s">
        <v>461</v>
      </c>
      <c r="E2" s="3">
        <v>1</v>
      </c>
      <c r="F2" s="3">
        <v>1</v>
      </c>
    </row>
    <row r="3" spans="1:6" x14ac:dyDescent="0.2">
      <c r="A3" s="3" t="s">
        <v>482</v>
      </c>
      <c r="B3" s="3">
        <v>2</v>
      </c>
      <c r="C3" s="3">
        <v>2</v>
      </c>
      <c r="D3" s="3" t="s">
        <v>461</v>
      </c>
      <c r="E3" s="3">
        <v>1</v>
      </c>
      <c r="F3" s="3">
        <v>1</v>
      </c>
    </row>
    <row r="4" spans="1:6" x14ac:dyDescent="0.2">
      <c r="A4" s="3" t="s">
        <v>483</v>
      </c>
      <c r="B4" s="3">
        <v>2</v>
      </c>
      <c r="C4" s="3">
        <v>2</v>
      </c>
      <c r="D4" s="3" t="s">
        <v>465</v>
      </c>
      <c r="E4" s="3">
        <v>1</v>
      </c>
      <c r="F4" s="3">
        <v>1</v>
      </c>
    </row>
    <row r="5" spans="1:6" x14ac:dyDescent="0.2">
      <c r="A5" s="3" t="s">
        <v>484</v>
      </c>
      <c r="B5" s="3">
        <v>2</v>
      </c>
      <c r="C5" s="3">
        <v>2</v>
      </c>
      <c r="D5" s="3" t="s">
        <v>456</v>
      </c>
      <c r="E5" s="3">
        <v>1</v>
      </c>
      <c r="F5" s="3">
        <v>1</v>
      </c>
    </row>
    <row r="6" spans="1:6" x14ac:dyDescent="0.2">
      <c r="A6" s="3" t="s">
        <v>485</v>
      </c>
      <c r="B6" s="3">
        <v>2</v>
      </c>
      <c r="C6" s="3">
        <v>2</v>
      </c>
      <c r="D6" s="3" t="s">
        <v>458</v>
      </c>
      <c r="E6" s="3">
        <v>1</v>
      </c>
      <c r="F6" s="3">
        <v>1</v>
      </c>
    </row>
    <row r="7" spans="1:6" x14ac:dyDescent="0.2">
      <c r="A7" s="3" t="s">
        <v>486</v>
      </c>
      <c r="B7" s="3">
        <v>2</v>
      </c>
      <c r="C7" s="3">
        <v>2</v>
      </c>
      <c r="D7" s="3" t="s">
        <v>462</v>
      </c>
      <c r="E7" s="3">
        <v>1</v>
      </c>
      <c r="F7" s="3">
        <v>1</v>
      </c>
    </row>
    <row r="8" spans="1:6" x14ac:dyDescent="0.2">
      <c r="A8" s="3" t="s">
        <v>487</v>
      </c>
      <c r="B8" s="3">
        <v>2</v>
      </c>
      <c r="C8" s="3">
        <v>2</v>
      </c>
      <c r="D8" s="3" t="s">
        <v>462</v>
      </c>
      <c r="E8" s="3">
        <v>1</v>
      </c>
      <c r="F8" s="3">
        <v>1</v>
      </c>
    </row>
    <row r="9" spans="1:6" x14ac:dyDescent="0.2">
      <c r="A9" s="3" t="s">
        <v>488</v>
      </c>
      <c r="B9" s="3">
        <v>2</v>
      </c>
      <c r="C9" s="3">
        <v>2</v>
      </c>
      <c r="D9" s="3" t="s">
        <v>454</v>
      </c>
      <c r="E9" s="3">
        <v>1</v>
      </c>
      <c r="F9" s="3">
        <v>1</v>
      </c>
    </row>
    <row r="10" spans="1:6" x14ac:dyDescent="0.2">
      <c r="A10" s="3" t="s">
        <v>489</v>
      </c>
      <c r="B10" s="3">
        <v>2</v>
      </c>
      <c r="C10" s="3">
        <v>2</v>
      </c>
      <c r="D10" s="3" t="s">
        <v>455</v>
      </c>
      <c r="E10" s="3">
        <v>1</v>
      </c>
      <c r="F10" s="3">
        <v>1</v>
      </c>
    </row>
    <row r="11" spans="1:6" x14ac:dyDescent="0.2">
      <c r="A11" s="3" t="s">
        <v>490</v>
      </c>
      <c r="B11" s="3">
        <v>2</v>
      </c>
      <c r="C11" s="3">
        <v>2</v>
      </c>
      <c r="D11" s="3" t="s">
        <v>471</v>
      </c>
      <c r="E11" s="3">
        <v>1</v>
      </c>
      <c r="F11" s="3">
        <v>1</v>
      </c>
    </row>
    <row r="12" spans="1:6" x14ac:dyDescent="0.2">
      <c r="A12" s="3" t="s">
        <v>491</v>
      </c>
      <c r="B12" s="3">
        <v>2</v>
      </c>
      <c r="C12" s="3">
        <v>2</v>
      </c>
      <c r="D12" s="3" t="s">
        <v>461</v>
      </c>
      <c r="E12" s="3">
        <v>1</v>
      </c>
      <c r="F12" s="3">
        <v>1</v>
      </c>
    </row>
    <row r="13" spans="1:6" x14ac:dyDescent="0.2">
      <c r="A13" s="3" t="s">
        <v>492</v>
      </c>
      <c r="B13" s="3">
        <v>2</v>
      </c>
      <c r="C13" s="3">
        <v>2</v>
      </c>
      <c r="D13" s="3" t="s">
        <v>474</v>
      </c>
      <c r="E13" s="3">
        <v>1</v>
      </c>
      <c r="F13" s="3">
        <v>1</v>
      </c>
    </row>
    <row r="14" spans="1:6" x14ac:dyDescent="0.2">
      <c r="A14" s="3" t="s">
        <v>493</v>
      </c>
      <c r="B14" s="3">
        <v>2</v>
      </c>
      <c r="C14" s="3">
        <v>2</v>
      </c>
      <c r="D14" s="3" t="s">
        <v>460</v>
      </c>
      <c r="E14" s="3">
        <v>1</v>
      </c>
      <c r="F14" s="3">
        <v>1</v>
      </c>
    </row>
    <row r="15" spans="1:6" x14ac:dyDescent="0.2">
      <c r="A15" s="3" t="s">
        <v>494</v>
      </c>
      <c r="B15" s="3">
        <v>2</v>
      </c>
      <c r="C15" s="3">
        <v>2</v>
      </c>
      <c r="D15" s="3" t="s">
        <v>460</v>
      </c>
      <c r="E15" s="3">
        <v>1</v>
      </c>
      <c r="F15" s="3">
        <v>1</v>
      </c>
    </row>
    <row r="16" spans="1:6" x14ac:dyDescent="0.2">
      <c r="A16" s="3" t="s">
        <v>495</v>
      </c>
      <c r="B16" s="3">
        <v>2</v>
      </c>
      <c r="C16" s="3">
        <v>2</v>
      </c>
      <c r="D16" s="3" t="s">
        <v>456</v>
      </c>
      <c r="E16" s="3">
        <v>1</v>
      </c>
      <c r="F16" s="3">
        <v>1</v>
      </c>
    </row>
    <row r="17" spans="1:6" x14ac:dyDescent="0.2">
      <c r="A17" s="3" t="s">
        <v>496</v>
      </c>
      <c r="B17" s="3">
        <v>2</v>
      </c>
      <c r="C17" s="3">
        <v>2</v>
      </c>
      <c r="D17" s="3" t="s">
        <v>466</v>
      </c>
      <c r="E17" s="3">
        <v>1</v>
      </c>
      <c r="F17" s="3">
        <v>1</v>
      </c>
    </row>
    <row r="18" spans="1:6" x14ac:dyDescent="0.2">
      <c r="A18" s="3" t="s">
        <v>497</v>
      </c>
      <c r="B18" s="3">
        <v>2</v>
      </c>
      <c r="C18" s="3">
        <v>2</v>
      </c>
      <c r="D18" s="3" t="s">
        <v>462</v>
      </c>
      <c r="E18" s="3">
        <v>1</v>
      </c>
      <c r="F18" s="3">
        <v>1</v>
      </c>
    </row>
    <row r="19" spans="1:6" x14ac:dyDescent="0.2">
      <c r="A19" s="3" t="s">
        <v>498</v>
      </c>
      <c r="B19" s="3">
        <v>2</v>
      </c>
      <c r="C19" s="3">
        <v>2</v>
      </c>
      <c r="D19" s="3" t="s">
        <v>464</v>
      </c>
      <c r="E19" s="3">
        <v>1</v>
      </c>
      <c r="F19" s="3">
        <v>1</v>
      </c>
    </row>
    <row r="20" spans="1:6" x14ac:dyDescent="0.2">
      <c r="A20" s="3" t="s">
        <v>499</v>
      </c>
      <c r="B20" s="3">
        <v>2</v>
      </c>
      <c r="C20" s="3">
        <v>2</v>
      </c>
      <c r="D20" s="3" t="s">
        <v>456</v>
      </c>
      <c r="E20" s="3">
        <v>1</v>
      </c>
      <c r="F20" s="3">
        <v>1</v>
      </c>
    </row>
    <row r="21" spans="1:6" x14ac:dyDescent="0.2">
      <c r="A21" s="3" t="s">
        <v>500</v>
      </c>
      <c r="B21" s="3">
        <v>2</v>
      </c>
      <c r="C21" s="3">
        <v>2</v>
      </c>
      <c r="D21" s="3" t="s">
        <v>466</v>
      </c>
      <c r="E21" s="3">
        <v>1</v>
      </c>
      <c r="F21" s="3">
        <v>1</v>
      </c>
    </row>
    <row r="22" spans="1:6" x14ac:dyDescent="0.2">
      <c r="A22" s="3" t="s">
        <v>501</v>
      </c>
      <c r="B22" s="3">
        <v>2</v>
      </c>
      <c r="C22" s="3">
        <v>2</v>
      </c>
      <c r="D22" s="3" t="s">
        <v>466</v>
      </c>
      <c r="E22" s="3">
        <v>1</v>
      </c>
      <c r="F22" s="3">
        <v>1</v>
      </c>
    </row>
    <row r="23" spans="1:6" x14ac:dyDescent="0.2">
      <c r="A23" s="3" t="s">
        <v>502</v>
      </c>
      <c r="B23" s="3">
        <v>2</v>
      </c>
      <c r="C23" s="3">
        <v>2</v>
      </c>
      <c r="D23" s="3" t="s">
        <v>462</v>
      </c>
      <c r="E23" s="3">
        <v>1</v>
      </c>
      <c r="F23" s="3">
        <v>1</v>
      </c>
    </row>
    <row r="24" spans="1:6" x14ac:dyDescent="0.2">
      <c r="A24" s="3" t="s">
        <v>503</v>
      </c>
      <c r="B24" s="3">
        <v>2</v>
      </c>
      <c r="C24" s="3">
        <v>2</v>
      </c>
      <c r="D24" s="3" t="s">
        <v>462</v>
      </c>
      <c r="E24" s="3">
        <v>1</v>
      </c>
      <c r="F24" s="3">
        <v>1</v>
      </c>
    </row>
    <row r="25" spans="1:6" x14ac:dyDescent="0.2">
      <c r="A25" s="3" t="s">
        <v>504</v>
      </c>
      <c r="B25" s="3">
        <v>2</v>
      </c>
      <c r="C25" s="3">
        <v>2</v>
      </c>
      <c r="D25" s="3" t="s">
        <v>466</v>
      </c>
      <c r="E25" s="3">
        <v>1</v>
      </c>
      <c r="F25" s="3">
        <v>1</v>
      </c>
    </row>
    <row r="26" spans="1:6" x14ac:dyDescent="0.2">
      <c r="A26" s="3" t="s">
        <v>505</v>
      </c>
      <c r="B26" s="3">
        <v>2</v>
      </c>
      <c r="C26" s="3">
        <v>2</v>
      </c>
      <c r="D26" s="3" t="s">
        <v>462</v>
      </c>
      <c r="E26" s="3">
        <v>1</v>
      </c>
      <c r="F26" s="3">
        <v>1</v>
      </c>
    </row>
    <row r="27" spans="1:6" x14ac:dyDescent="0.2">
      <c r="A27" s="3" t="s">
        <v>506</v>
      </c>
      <c r="B27" s="3">
        <v>2</v>
      </c>
      <c r="C27" s="3">
        <v>2</v>
      </c>
      <c r="D27" s="3" t="s">
        <v>462</v>
      </c>
      <c r="E27" s="3">
        <v>1</v>
      </c>
      <c r="F27" s="3">
        <v>1</v>
      </c>
    </row>
    <row r="28" spans="1:6" x14ac:dyDescent="0.2">
      <c r="A28" s="3" t="s">
        <v>507</v>
      </c>
      <c r="B28" s="3">
        <v>2</v>
      </c>
      <c r="C28" s="3">
        <v>2</v>
      </c>
      <c r="D28" s="3" t="s">
        <v>466</v>
      </c>
      <c r="E28" s="3">
        <v>1</v>
      </c>
      <c r="F28" s="3">
        <v>1</v>
      </c>
    </row>
    <row r="29" spans="1:6" x14ac:dyDescent="0.2">
      <c r="A29" s="3" t="s">
        <v>508</v>
      </c>
      <c r="B29" s="3">
        <v>2</v>
      </c>
      <c r="C29" s="3">
        <v>2</v>
      </c>
      <c r="D29" s="3" t="s">
        <v>466</v>
      </c>
      <c r="E29" s="3">
        <v>1</v>
      </c>
      <c r="F29" s="3">
        <v>1</v>
      </c>
    </row>
    <row r="30" spans="1:6" x14ac:dyDescent="0.2">
      <c r="A30" s="3" t="s">
        <v>509</v>
      </c>
      <c r="B30" s="3">
        <v>2</v>
      </c>
      <c r="C30" s="3">
        <v>2</v>
      </c>
      <c r="D30" s="3" t="s">
        <v>466</v>
      </c>
      <c r="E30" s="3">
        <v>1</v>
      </c>
      <c r="F30" s="3">
        <v>1</v>
      </c>
    </row>
    <row r="31" spans="1:6" x14ac:dyDescent="0.2">
      <c r="A31" s="3" t="s">
        <v>510</v>
      </c>
      <c r="B31" s="3">
        <v>2</v>
      </c>
      <c r="C31" s="3">
        <v>2</v>
      </c>
      <c r="D31" s="3" t="s">
        <v>466</v>
      </c>
      <c r="E31" s="3">
        <v>1</v>
      </c>
      <c r="F31" s="3">
        <v>1</v>
      </c>
    </row>
    <row r="32" spans="1:6" x14ac:dyDescent="0.2">
      <c r="A32" s="3" t="s">
        <v>511</v>
      </c>
      <c r="B32" s="3">
        <v>2</v>
      </c>
      <c r="C32" s="3">
        <v>2</v>
      </c>
      <c r="D32" s="3" t="s">
        <v>466</v>
      </c>
      <c r="E32" s="3">
        <v>1</v>
      </c>
      <c r="F32" s="3">
        <v>1</v>
      </c>
    </row>
    <row r="33" spans="1:6" x14ac:dyDescent="0.2">
      <c r="A33" s="3" t="s">
        <v>512</v>
      </c>
      <c r="B33" s="3">
        <v>2</v>
      </c>
      <c r="C33" s="3">
        <v>2</v>
      </c>
      <c r="D33" s="3" t="s">
        <v>466</v>
      </c>
      <c r="E33" s="3">
        <v>1</v>
      </c>
      <c r="F33" s="3">
        <v>1</v>
      </c>
    </row>
    <row r="34" spans="1:6" x14ac:dyDescent="0.2">
      <c r="A34" s="3" t="s">
        <v>513</v>
      </c>
      <c r="B34" s="3">
        <v>2</v>
      </c>
      <c r="C34" s="3">
        <v>2</v>
      </c>
      <c r="D34" s="3" t="s">
        <v>466</v>
      </c>
      <c r="E34" s="3">
        <v>1</v>
      </c>
      <c r="F34" s="3">
        <v>1</v>
      </c>
    </row>
    <row r="35" spans="1:6" x14ac:dyDescent="0.2">
      <c r="A35" s="3" t="s">
        <v>514</v>
      </c>
      <c r="B35" s="3">
        <v>2</v>
      </c>
      <c r="C35" s="3">
        <v>2</v>
      </c>
      <c r="D35" s="3" t="s">
        <v>462</v>
      </c>
      <c r="E35" s="3">
        <v>1</v>
      </c>
      <c r="F35" s="3">
        <v>1</v>
      </c>
    </row>
    <row r="36" spans="1:6" x14ac:dyDescent="0.2">
      <c r="A36" s="3" t="s">
        <v>515</v>
      </c>
      <c r="B36" s="3">
        <v>2</v>
      </c>
      <c r="C36" s="3">
        <v>2</v>
      </c>
      <c r="D36" s="3" t="s">
        <v>466</v>
      </c>
      <c r="E36" s="3">
        <v>1</v>
      </c>
      <c r="F36" s="3">
        <v>1</v>
      </c>
    </row>
    <row r="37" spans="1:6" x14ac:dyDescent="0.2">
      <c r="A37" s="3" t="s">
        <v>516</v>
      </c>
      <c r="B37" s="3">
        <v>2</v>
      </c>
      <c r="C37" s="3">
        <v>2</v>
      </c>
      <c r="D37" s="3" t="s">
        <v>466</v>
      </c>
      <c r="E37" s="3">
        <v>1</v>
      </c>
      <c r="F37" s="3">
        <v>1</v>
      </c>
    </row>
    <row r="38" spans="1:6" x14ac:dyDescent="0.2">
      <c r="A38" s="3" t="s">
        <v>517</v>
      </c>
      <c r="B38" s="3">
        <v>2</v>
      </c>
      <c r="C38" s="3">
        <v>2</v>
      </c>
      <c r="D38" s="3" t="s">
        <v>466</v>
      </c>
      <c r="E38" s="3">
        <v>1</v>
      </c>
      <c r="F38" s="3">
        <v>1</v>
      </c>
    </row>
    <row r="39" spans="1:6" x14ac:dyDescent="0.2">
      <c r="A39" s="3" t="s">
        <v>518</v>
      </c>
      <c r="B39" s="3">
        <v>2</v>
      </c>
      <c r="C39" s="3">
        <v>2</v>
      </c>
      <c r="D39" s="3" t="s">
        <v>461</v>
      </c>
      <c r="E39" s="3">
        <v>1</v>
      </c>
      <c r="F39" s="3">
        <v>1</v>
      </c>
    </row>
    <row r="40" spans="1:6" x14ac:dyDescent="0.2">
      <c r="A40" s="3" t="s">
        <v>519</v>
      </c>
      <c r="B40" s="3">
        <v>2</v>
      </c>
      <c r="C40" s="3">
        <v>2</v>
      </c>
      <c r="D40" s="3" t="s">
        <v>461</v>
      </c>
      <c r="E40" s="3">
        <v>1</v>
      </c>
      <c r="F40" s="3">
        <v>1</v>
      </c>
    </row>
    <row r="41" spans="1:6" x14ac:dyDescent="0.2">
      <c r="A41" s="3" t="s">
        <v>520</v>
      </c>
      <c r="B41" s="3">
        <v>2</v>
      </c>
      <c r="C41" s="3">
        <v>2</v>
      </c>
      <c r="D41" s="3" t="s">
        <v>455</v>
      </c>
      <c r="E41" s="3">
        <v>1</v>
      </c>
      <c r="F41" s="3">
        <v>1</v>
      </c>
    </row>
    <row r="42" spans="1:6" x14ac:dyDescent="0.2">
      <c r="A42" s="3" t="s">
        <v>521</v>
      </c>
      <c r="B42" s="3">
        <v>2</v>
      </c>
      <c r="C42" s="3">
        <v>2</v>
      </c>
      <c r="D42" s="3" t="s">
        <v>454</v>
      </c>
      <c r="E42" s="3">
        <v>1</v>
      </c>
      <c r="F42" s="3">
        <v>1</v>
      </c>
    </row>
    <row r="43" spans="1:6" x14ac:dyDescent="0.2">
      <c r="A43" s="3" t="s">
        <v>522</v>
      </c>
      <c r="B43" s="3">
        <v>2</v>
      </c>
      <c r="C43" s="3">
        <v>2</v>
      </c>
      <c r="D43" s="3" t="s">
        <v>461</v>
      </c>
      <c r="E43" s="3">
        <v>1</v>
      </c>
      <c r="F43" s="3">
        <v>1</v>
      </c>
    </row>
    <row r="44" spans="1:6" x14ac:dyDescent="0.2">
      <c r="A44" s="3" t="s">
        <v>523</v>
      </c>
      <c r="B44" s="3">
        <v>2</v>
      </c>
      <c r="C44" s="3">
        <v>2</v>
      </c>
      <c r="D44" s="3" t="s">
        <v>465</v>
      </c>
      <c r="E44" s="3">
        <v>1</v>
      </c>
      <c r="F44" s="3">
        <v>1</v>
      </c>
    </row>
    <row r="45" spans="1:6" x14ac:dyDescent="0.2">
      <c r="A45" s="3" t="s">
        <v>524</v>
      </c>
      <c r="B45" s="3">
        <v>2</v>
      </c>
      <c r="C45" s="3">
        <v>2</v>
      </c>
      <c r="D45" s="3" t="s">
        <v>466</v>
      </c>
      <c r="E45" s="3">
        <v>1</v>
      </c>
      <c r="F45" s="3">
        <v>1</v>
      </c>
    </row>
    <row r="46" spans="1:6" x14ac:dyDescent="0.2">
      <c r="A46" s="3" t="s">
        <v>525</v>
      </c>
      <c r="B46" s="3">
        <v>2</v>
      </c>
      <c r="C46" s="3">
        <v>2</v>
      </c>
      <c r="D46" s="3" t="s">
        <v>466</v>
      </c>
      <c r="E46" s="3">
        <v>1</v>
      </c>
      <c r="F46" s="3">
        <v>1</v>
      </c>
    </row>
    <row r="47" spans="1:6" x14ac:dyDescent="0.2">
      <c r="A47" s="3" t="s">
        <v>526</v>
      </c>
      <c r="B47" s="3">
        <v>2</v>
      </c>
      <c r="C47" s="3">
        <v>2</v>
      </c>
      <c r="D47" s="3" t="s">
        <v>460</v>
      </c>
      <c r="E47" s="3">
        <v>1</v>
      </c>
      <c r="F47" s="3">
        <v>1</v>
      </c>
    </row>
    <row r="48" spans="1:6" x14ac:dyDescent="0.2">
      <c r="A48" s="3" t="s">
        <v>527</v>
      </c>
      <c r="B48" s="3">
        <v>2</v>
      </c>
      <c r="C48" s="3">
        <v>2</v>
      </c>
      <c r="D48" s="3" t="s">
        <v>460</v>
      </c>
      <c r="E48" s="3">
        <v>1</v>
      </c>
      <c r="F48" s="3">
        <v>1</v>
      </c>
    </row>
    <row r="49" spans="1:6" x14ac:dyDescent="0.2">
      <c r="A49" s="3" t="s">
        <v>528</v>
      </c>
      <c r="B49" s="3">
        <v>2</v>
      </c>
      <c r="C49" s="3">
        <v>2</v>
      </c>
      <c r="D49" s="3" t="s">
        <v>464</v>
      </c>
      <c r="E49" s="3">
        <v>1</v>
      </c>
      <c r="F49" s="3">
        <v>1</v>
      </c>
    </row>
    <row r="50" spans="1:6" x14ac:dyDescent="0.2">
      <c r="A50" s="3" t="s">
        <v>529</v>
      </c>
      <c r="B50" s="3">
        <v>2</v>
      </c>
      <c r="C50" s="3">
        <v>2</v>
      </c>
      <c r="D50" s="3" t="s">
        <v>456</v>
      </c>
      <c r="E50" s="3">
        <v>1</v>
      </c>
      <c r="F50" s="3">
        <v>1</v>
      </c>
    </row>
    <row r="51" spans="1:6" x14ac:dyDescent="0.2">
      <c r="A51" s="3" t="s">
        <v>530</v>
      </c>
      <c r="B51" s="3">
        <v>2</v>
      </c>
      <c r="C51" s="3">
        <v>2</v>
      </c>
      <c r="D51" s="3" t="s">
        <v>456</v>
      </c>
      <c r="E51" s="3">
        <v>1</v>
      </c>
      <c r="F51" s="3">
        <v>1</v>
      </c>
    </row>
    <row r="52" spans="1:6" x14ac:dyDescent="0.2">
      <c r="A52" s="3" t="s">
        <v>531</v>
      </c>
      <c r="B52" s="3">
        <v>2</v>
      </c>
      <c r="C52" s="3">
        <v>2</v>
      </c>
      <c r="D52" s="3" t="s">
        <v>456</v>
      </c>
      <c r="E52" s="3">
        <v>1</v>
      </c>
      <c r="F52" s="3">
        <v>1</v>
      </c>
    </row>
    <row r="53" spans="1:6" x14ac:dyDescent="0.2">
      <c r="A53" s="3" t="s">
        <v>532</v>
      </c>
      <c r="B53" s="3">
        <v>2</v>
      </c>
      <c r="C53" s="3">
        <v>2</v>
      </c>
      <c r="D53" s="3" t="s">
        <v>458</v>
      </c>
      <c r="E53" s="3">
        <v>1</v>
      </c>
      <c r="F53" s="3">
        <v>1</v>
      </c>
    </row>
    <row r="54" spans="1:6" x14ac:dyDescent="0.2">
      <c r="A54" s="3" t="s">
        <v>533</v>
      </c>
      <c r="B54" s="3">
        <v>2</v>
      </c>
      <c r="C54" s="3">
        <v>2</v>
      </c>
      <c r="D54" s="3" t="s">
        <v>466</v>
      </c>
      <c r="E54" s="3">
        <v>1</v>
      </c>
      <c r="F54" s="3">
        <v>1</v>
      </c>
    </row>
    <row r="55" spans="1:6" x14ac:dyDescent="0.2">
      <c r="A55" s="3" t="s">
        <v>534</v>
      </c>
      <c r="B55" s="3">
        <v>2</v>
      </c>
      <c r="C55" s="3">
        <v>2</v>
      </c>
      <c r="D55" s="3" t="s">
        <v>466</v>
      </c>
      <c r="E55" s="3">
        <v>1</v>
      </c>
      <c r="F55" s="3">
        <v>1</v>
      </c>
    </row>
    <row r="56" spans="1:6" x14ac:dyDescent="0.2">
      <c r="A56" s="3" t="s">
        <v>535</v>
      </c>
      <c r="B56" s="3">
        <v>2</v>
      </c>
      <c r="C56" s="3">
        <v>2</v>
      </c>
      <c r="D56" s="3" t="s">
        <v>466</v>
      </c>
      <c r="E56" s="3">
        <v>1</v>
      </c>
      <c r="F56" s="3">
        <v>1</v>
      </c>
    </row>
    <row r="57" spans="1:6" x14ac:dyDescent="0.2">
      <c r="A57" s="3" t="s">
        <v>536</v>
      </c>
      <c r="B57" s="3">
        <v>2</v>
      </c>
      <c r="C57" s="3">
        <v>2</v>
      </c>
      <c r="D57" s="3" t="s">
        <v>462</v>
      </c>
      <c r="E57" s="3">
        <v>1</v>
      </c>
      <c r="F57" s="3">
        <v>1</v>
      </c>
    </row>
    <row r="58" spans="1:6" x14ac:dyDescent="0.2">
      <c r="A58" s="3" t="s">
        <v>537</v>
      </c>
      <c r="B58" s="3">
        <v>2</v>
      </c>
      <c r="C58" s="3">
        <v>2</v>
      </c>
      <c r="D58" s="3" t="s">
        <v>462</v>
      </c>
      <c r="E58" s="3">
        <v>1</v>
      </c>
      <c r="F58" s="3">
        <v>1</v>
      </c>
    </row>
    <row r="59" spans="1:6" x14ac:dyDescent="0.2">
      <c r="A59" s="3" t="s">
        <v>538</v>
      </c>
      <c r="B59" s="3">
        <v>2</v>
      </c>
      <c r="C59" s="3">
        <v>2</v>
      </c>
      <c r="D59" s="3" t="s">
        <v>462</v>
      </c>
      <c r="E59" s="3">
        <v>1</v>
      </c>
      <c r="F59" s="3">
        <v>1</v>
      </c>
    </row>
    <row r="60" spans="1:6" x14ac:dyDescent="0.2">
      <c r="A60" s="3" t="s">
        <v>539</v>
      </c>
      <c r="B60" s="3">
        <v>2</v>
      </c>
      <c r="C60" s="3">
        <v>2</v>
      </c>
      <c r="D60" s="3" t="s">
        <v>462</v>
      </c>
      <c r="E60" s="3">
        <v>1</v>
      </c>
      <c r="F60" s="3">
        <v>1</v>
      </c>
    </row>
    <row r="61" spans="1:6" x14ac:dyDescent="0.2">
      <c r="A61" s="3" t="s">
        <v>540</v>
      </c>
      <c r="B61" s="3">
        <v>2</v>
      </c>
      <c r="C61" s="3">
        <v>2</v>
      </c>
      <c r="D61" s="3" t="s">
        <v>462</v>
      </c>
      <c r="E61" s="3">
        <v>1</v>
      </c>
      <c r="F61" s="3">
        <v>1</v>
      </c>
    </row>
    <row r="62" spans="1:6" x14ac:dyDescent="0.2">
      <c r="A62" s="3" t="s">
        <v>541</v>
      </c>
      <c r="B62" s="3">
        <v>2</v>
      </c>
      <c r="C62" s="3">
        <v>2</v>
      </c>
      <c r="D62" s="3" t="s">
        <v>462</v>
      </c>
      <c r="E62" s="3">
        <v>1</v>
      </c>
      <c r="F62" s="3">
        <v>1</v>
      </c>
    </row>
    <row r="63" spans="1:6" x14ac:dyDescent="0.2">
      <c r="A63" s="3" t="s">
        <v>542</v>
      </c>
      <c r="B63" s="3">
        <v>2</v>
      </c>
      <c r="C63" s="3">
        <v>2</v>
      </c>
      <c r="D63" s="3" t="s">
        <v>466</v>
      </c>
      <c r="E63" s="3">
        <v>1</v>
      </c>
      <c r="F63" s="3">
        <v>1</v>
      </c>
    </row>
    <row r="64" spans="1:6" x14ac:dyDescent="0.2">
      <c r="A64" s="3" t="s">
        <v>543</v>
      </c>
      <c r="B64" s="3">
        <v>2</v>
      </c>
      <c r="C64" s="3">
        <v>2</v>
      </c>
      <c r="D64" s="3" t="s">
        <v>462</v>
      </c>
      <c r="E64" s="3">
        <v>1</v>
      </c>
      <c r="F64" s="3">
        <v>1</v>
      </c>
    </row>
    <row r="65" spans="1:6" x14ac:dyDescent="0.2">
      <c r="A65" s="3" t="s">
        <v>544</v>
      </c>
      <c r="B65" s="3">
        <v>2</v>
      </c>
      <c r="C65" s="3">
        <v>2</v>
      </c>
      <c r="D65" s="3" t="s">
        <v>466</v>
      </c>
      <c r="E65" s="3">
        <v>1</v>
      </c>
      <c r="F65" s="3">
        <v>1</v>
      </c>
    </row>
    <row r="66" spans="1:6" x14ac:dyDescent="0.2">
      <c r="A66" s="3" t="s">
        <v>545</v>
      </c>
      <c r="B66" s="3">
        <v>2</v>
      </c>
      <c r="C66" s="3">
        <v>2</v>
      </c>
      <c r="D66" s="3" t="s">
        <v>466</v>
      </c>
      <c r="E66" s="3">
        <v>1</v>
      </c>
      <c r="F66" s="3">
        <v>1</v>
      </c>
    </row>
    <row r="67" spans="1:6" x14ac:dyDescent="0.2">
      <c r="A67" s="3" t="s">
        <v>546</v>
      </c>
      <c r="B67" s="3">
        <v>2</v>
      </c>
      <c r="C67" s="3">
        <v>2</v>
      </c>
      <c r="D67" s="3" t="s">
        <v>466</v>
      </c>
      <c r="E67" s="3">
        <v>1</v>
      </c>
      <c r="F67" s="3">
        <v>1</v>
      </c>
    </row>
    <row r="68" spans="1:6" x14ac:dyDescent="0.2">
      <c r="A68" s="3" t="s">
        <v>547</v>
      </c>
      <c r="B68" s="3">
        <v>2</v>
      </c>
      <c r="C68" s="3">
        <v>2</v>
      </c>
      <c r="D68" s="3" t="s">
        <v>466</v>
      </c>
      <c r="E68" s="3">
        <v>1</v>
      </c>
      <c r="F68" s="3">
        <v>1</v>
      </c>
    </row>
    <row r="69" spans="1:6" x14ac:dyDescent="0.2">
      <c r="A69" s="3" t="s">
        <v>548</v>
      </c>
      <c r="B69" s="3">
        <v>2</v>
      </c>
      <c r="C69" s="3">
        <v>2</v>
      </c>
      <c r="D69" s="3" t="s">
        <v>466</v>
      </c>
      <c r="E69" s="3">
        <v>1</v>
      </c>
      <c r="F69" s="3">
        <v>1</v>
      </c>
    </row>
    <row r="70" spans="1:6" x14ac:dyDescent="0.2">
      <c r="A70" s="3" t="s">
        <v>549</v>
      </c>
      <c r="B70" s="3">
        <v>2</v>
      </c>
      <c r="C70" s="3">
        <v>2</v>
      </c>
      <c r="D70" s="3" t="s">
        <v>462</v>
      </c>
      <c r="E70" s="3">
        <v>1</v>
      </c>
      <c r="F70" s="3">
        <v>1</v>
      </c>
    </row>
    <row r="71" spans="1:6" x14ac:dyDescent="0.2">
      <c r="A71" s="3" t="s">
        <v>550</v>
      </c>
      <c r="B71" s="3">
        <v>2</v>
      </c>
      <c r="C71" s="3">
        <v>2</v>
      </c>
      <c r="D71" s="3" t="s">
        <v>466</v>
      </c>
      <c r="E71" s="3">
        <v>1</v>
      </c>
      <c r="F71" s="3">
        <v>1</v>
      </c>
    </row>
    <row r="72" spans="1:6" x14ac:dyDescent="0.2">
      <c r="A72" s="3" t="s">
        <v>551</v>
      </c>
      <c r="B72" s="3">
        <v>2</v>
      </c>
      <c r="C72" s="3">
        <v>2</v>
      </c>
      <c r="D72" s="3" t="s">
        <v>466</v>
      </c>
      <c r="E72" s="3">
        <v>1</v>
      </c>
      <c r="F72" s="3">
        <v>1</v>
      </c>
    </row>
    <row r="73" spans="1:6" x14ac:dyDescent="0.2">
      <c r="A73" s="3" t="s">
        <v>552</v>
      </c>
      <c r="B73" s="3">
        <v>2</v>
      </c>
      <c r="C73" s="3">
        <v>2</v>
      </c>
      <c r="D73" s="3" t="s">
        <v>466</v>
      </c>
      <c r="E73" s="3">
        <v>1</v>
      </c>
      <c r="F7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Os</vt:lpstr>
      <vt:lpstr>Mt</vt:lpstr>
      <vt:lpstr>species_fam_status</vt:lpstr>
      <vt:lpstr>genes_presence</vt:lpstr>
      <vt:lpstr>itol_sp_fam_colors</vt:lpstr>
      <vt:lpstr>CYCLOPS</vt:lpstr>
      <vt:lpstr>CCAMK</vt:lpstr>
      <vt:lpstr>CCAMK_itol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2023-10-13T14:12:16Z</dcterms:created>
  <dcterms:modified xsi:type="dcterms:W3CDTF">2024-01-31T16:54:36Z</dcterms:modified>
</cp:coreProperties>
</file>