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aalmario/Documents/Labo/MS/4_Pauline_xp/V4_resub_2025/Git_new/33P_15N_Transfers_Fig9/"/>
    </mc:Choice>
  </mc:AlternateContent>
  <xr:revisionPtr revIDLastSave="0" documentId="13_ncr:1_{5DA67C63-17DD-D143-B3EC-5F4F4774E319}" xr6:coauthVersionLast="47" xr6:coauthVersionMax="47" xr10:uidLastSave="{00000000-0000-0000-0000-000000000000}"/>
  <bookViews>
    <workbookView xWindow="-3120" yWindow="-19820" windowWidth="35860" windowHeight="19160" xr2:uid="{BFA34B85-6E9D-174D-850A-CF008341E2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1" l="1"/>
  <c r="L4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K2" i="1" l="1"/>
  <c r="G2" i="1"/>
  <c r="G5" i="1"/>
  <c r="G4" i="1"/>
  <c r="G3" i="1"/>
  <c r="G54" i="1"/>
  <c r="G51" i="1"/>
  <c r="G4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6" i="1"/>
  <c r="G47" i="1"/>
  <c r="G48" i="1"/>
  <c r="G49" i="1"/>
  <c r="G50" i="1"/>
  <c r="G52" i="1"/>
  <c r="G53" i="1"/>
  <c r="G55" i="1"/>
  <c r="G56" i="1"/>
  <c r="G57" i="1"/>
  <c r="G5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</calcChain>
</file>

<file path=xl/sharedStrings.xml><?xml version="1.0" encoding="utf-8"?>
<sst xmlns="http://schemas.openxmlformats.org/spreadsheetml/2006/main" count="184" uniqueCount="77">
  <si>
    <t>Plante</t>
  </si>
  <si>
    <t>Champignon</t>
  </si>
  <si>
    <t>Réplicat</t>
  </si>
  <si>
    <t>Nom Echantillon</t>
  </si>
  <si>
    <t>Poireau</t>
  </si>
  <si>
    <t>Non-inoculé</t>
  </si>
  <si>
    <t>1-39</t>
  </si>
  <si>
    <t>1-40</t>
  </si>
  <si>
    <t>Rhizophagus irregularis</t>
  </si>
  <si>
    <t>M verna</t>
  </si>
  <si>
    <t>A. alpina</t>
  </si>
  <si>
    <t>FPNI-1</t>
  </si>
  <si>
    <t>FPNI-2</t>
  </si>
  <si>
    <t>FPNI-3</t>
  </si>
  <si>
    <t>FPNI-4</t>
  </si>
  <si>
    <t>FP39-1</t>
  </si>
  <si>
    <t>FP39-3</t>
  </si>
  <si>
    <t>FP39-4</t>
  </si>
  <si>
    <t>FP39-5</t>
  </si>
  <si>
    <t>FP39-6</t>
  </si>
  <si>
    <t>FP40-2</t>
  </si>
  <si>
    <t>FP40-3</t>
  </si>
  <si>
    <t>FP40-4</t>
  </si>
  <si>
    <t>FP40-5</t>
  </si>
  <si>
    <t>FP40-6</t>
  </si>
  <si>
    <t>FPRI-2</t>
  </si>
  <si>
    <t>FPRI-3</t>
  </si>
  <si>
    <t>FPRI-4</t>
  </si>
  <si>
    <t>FPRI-5</t>
  </si>
  <si>
    <t>FPRI-6</t>
  </si>
  <si>
    <t>FMV39-1</t>
  </si>
  <si>
    <t>FMV39-2</t>
  </si>
  <si>
    <t>FMV39-4</t>
  </si>
  <si>
    <t>FMV39-5</t>
  </si>
  <si>
    <t>FMV39-6</t>
  </si>
  <si>
    <t>FMV40-1</t>
  </si>
  <si>
    <t>FMV40-2</t>
  </si>
  <si>
    <t>FMV40-3</t>
  </si>
  <si>
    <t>FMV40-5</t>
  </si>
  <si>
    <t>FMV40-6</t>
  </si>
  <si>
    <t>FMVRI-1</t>
  </si>
  <si>
    <t>FMVRI-2</t>
  </si>
  <si>
    <t>FMVRI-3</t>
  </si>
  <si>
    <t>FMVRI-4</t>
  </si>
  <si>
    <t>FMVRI-5</t>
  </si>
  <si>
    <t>FAANI-1</t>
  </si>
  <si>
    <t>FAANI-2</t>
  </si>
  <si>
    <t>FAANI-4</t>
  </si>
  <si>
    <t>FAANI-5</t>
  </si>
  <si>
    <t>FAA39-1</t>
  </si>
  <si>
    <t>FAA39-2</t>
  </si>
  <si>
    <t>FAA39-3</t>
  </si>
  <si>
    <t>FAA39-5</t>
  </si>
  <si>
    <t>FAA39-6</t>
  </si>
  <si>
    <t>FAA40-1</t>
  </si>
  <si>
    <t>FAA40-2</t>
  </si>
  <si>
    <t>FAA40-3</t>
  </si>
  <si>
    <t>FAA40-4</t>
  </si>
  <si>
    <t>FAA40-6</t>
  </si>
  <si>
    <t>FAARI-1</t>
  </si>
  <si>
    <t>FAARI-2</t>
  </si>
  <si>
    <t>FAARI-3</t>
  </si>
  <si>
    <t>FAARI-4</t>
  </si>
  <si>
    <t>FAARI-6</t>
  </si>
  <si>
    <t>FMVNI-1</t>
  </si>
  <si>
    <t>FMVNI-2</t>
  </si>
  <si>
    <t>FMVNI-3</t>
  </si>
  <si>
    <t>FMVNI-4</t>
  </si>
  <si>
    <t>33P (KBq dans PA)</t>
  </si>
  <si>
    <t>Pois Sec PA (mg)</t>
  </si>
  <si>
    <t>Quantité de P (mg P/PA)</t>
  </si>
  <si>
    <t>Quantité de N (mg N/PA)</t>
  </si>
  <si>
    <t>Quantité de P (mg/g PA)</t>
  </si>
  <si>
    <t>%C dans PA</t>
  </si>
  <si>
    <t>Quantité de 15N (µg N/PA)</t>
  </si>
  <si>
    <t>%N dans PA</t>
  </si>
  <si>
    <t>A% 15N dans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</si>
</sst>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D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2" fontId="0" fillId="12" borderId="1" xfId="0" applyNumberFormat="1" applyFill="1" applyBorder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0" fontId="5" fillId="0" borderId="1" xfId="1" applyFont="1" applyBorder="1" applyAlignment="1">
      <alignment horizontal="center" vertical="center" wrapText="1" shrinkToFi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9669EA97-3A9F-3143-80C6-F32D91179926}"/>
  </cellStyles>
  <dxfs count="0"/>
  <tableStyles count="0" defaultTableStyle="TableStyleMedium2" defaultPivotStyle="PivotStyleLight16"/>
  <colors>
    <mruColors>
      <color rgb="FFFFC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268-610A-2846-A320-9547F89257FF}">
  <dimension ref="A1:M58"/>
  <sheetViews>
    <sheetView tabSelected="1" workbookViewId="0">
      <selection activeCell="E64" sqref="E64"/>
    </sheetView>
  </sheetViews>
  <sheetFormatPr baseColWidth="10" defaultRowHeight="16" x14ac:dyDescent="0.2"/>
  <cols>
    <col min="1" max="1" width="14" style="1" customWidth="1"/>
    <col min="2" max="2" width="20.83203125" style="2" customWidth="1"/>
    <col min="3" max="3" width="10.83203125" style="1"/>
    <col min="4" max="4" width="15.6640625" style="1" customWidth="1"/>
    <col min="5" max="6" width="15.1640625" style="1" customWidth="1"/>
    <col min="7" max="7" width="13" style="1" customWidth="1"/>
    <col min="8" max="12" width="13.83203125" style="1" customWidth="1"/>
    <col min="13" max="13" width="16.33203125" style="1" customWidth="1"/>
  </cols>
  <sheetData>
    <row r="1" spans="1:13" s="16" customFormat="1" ht="34" x14ac:dyDescent="0.2">
      <c r="A1" s="14" t="s">
        <v>0</v>
      </c>
      <c r="B1" s="15" t="s">
        <v>1</v>
      </c>
      <c r="C1" s="14" t="s">
        <v>2</v>
      </c>
      <c r="D1" s="14" t="s">
        <v>3</v>
      </c>
      <c r="E1" s="14" t="s">
        <v>69</v>
      </c>
      <c r="F1" s="17" t="s">
        <v>72</v>
      </c>
      <c r="G1" s="14" t="s">
        <v>70</v>
      </c>
      <c r="H1" s="14" t="s">
        <v>68</v>
      </c>
      <c r="I1" s="21" t="s">
        <v>75</v>
      </c>
      <c r="J1" s="20" t="s">
        <v>76</v>
      </c>
      <c r="K1" s="14" t="s">
        <v>71</v>
      </c>
      <c r="L1" s="14" t="s">
        <v>74</v>
      </c>
      <c r="M1" s="21" t="s">
        <v>73</v>
      </c>
    </row>
    <row r="2" spans="1:13" x14ac:dyDescent="0.2">
      <c r="A2" s="3" t="s">
        <v>4</v>
      </c>
      <c r="B2" s="4" t="s">
        <v>5</v>
      </c>
      <c r="C2" s="5">
        <v>1</v>
      </c>
      <c r="D2" s="11" t="s">
        <v>11</v>
      </c>
      <c r="E2" s="5">
        <v>118</v>
      </c>
      <c r="F2" s="5">
        <v>0.223158026421137</v>
      </c>
      <c r="G2" s="5">
        <f>(E2/1000)*F2</f>
        <v>2.6332647117694164E-2</v>
      </c>
      <c r="H2" s="5">
        <v>1.92575887955847E-3</v>
      </c>
      <c r="I2" s="18">
        <v>3.1837529999999998</v>
      </c>
      <c r="J2" s="19">
        <v>4.2932655583102202E-3</v>
      </c>
      <c r="K2" s="5">
        <f>(E2*I2)/100</f>
        <v>3.7568285399999994</v>
      </c>
      <c r="L2" s="5">
        <f>(E2*I2*J2)*10</f>
        <v>16.129062579258868</v>
      </c>
      <c r="M2" s="18">
        <v>37.133033300000001</v>
      </c>
    </row>
    <row r="3" spans="1:13" x14ac:dyDescent="0.2">
      <c r="A3" s="3" t="s">
        <v>4</v>
      </c>
      <c r="B3" s="4" t="s">
        <v>5</v>
      </c>
      <c r="C3" s="5">
        <v>2</v>
      </c>
      <c r="D3" s="11" t="s">
        <v>12</v>
      </c>
      <c r="E3" s="5">
        <v>137</v>
      </c>
      <c r="F3" s="5">
        <v>0.21579086730615499</v>
      </c>
      <c r="G3" s="5">
        <f>(E3/1000)*F3</f>
        <v>2.9563348820943237E-2</v>
      </c>
      <c r="H3" s="5">
        <v>2.0612662493981705E-3</v>
      </c>
      <c r="I3" s="18">
        <v>3.2396120000000002</v>
      </c>
      <c r="J3" s="19">
        <v>4.4601159953980936E-3</v>
      </c>
      <c r="K3" s="5">
        <f t="shared" ref="K3:K58" si="0">(E3*I3)/100</f>
        <v>4.4382684399999999</v>
      </c>
      <c r="L3" s="5">
        <f t="shared" ref="L3:L58" si="1">(E3*I3*J3)*10</f>
        <v>19.795192061114545</v>
      </c>
      <c r="M3" s="18">
        <v>38.134709000000001</v>
      </c>
    </row>
    <row r="4" spans="1:13" x14ac:dyDescent="0.2">
      <c r="A4" s="3" t="s">
        <v>4</v>
      </c>
      <c r="B4" s="4" t="s">
        <v>5</v>
      </c>
      <c r="C4" s="5">
        <v>3</v>
      </c>
      <c r="D4" s="11" t="s">
        <v>13</v>
      </c>
      <c r="E4" s="5">
        <v>101</v>
      </c>
      <c r="F4" s="5">
        <v>0.232264782261286</v>
      </c>
      <c r="G4" s="5">
        <f>(E4/1000)*F4</f>
        <v>2.3458743008389887E-2</v>
      </c>
      <c r="H4" s="5">
        <v>1.510483653874914E-3</v>
      </c>
      <c r="I4" s="18">
        <v>5.5764902999999997</v>
      </c>
      <c r="J4" s="19">
        <v>4.2111447072001726E-3</v>
      </c>
      <c r="K4" s="5">
        <f t="shared" si="0"/>
        <v>5.6322552029999997</v>
      </c>
      <c r="L4" s="5">
        <f t="shared" si="1"/>
        <v>23.71824168771408</v>
      </c>
      <c r="M4" s="18">
        <v>37.888405400000003</v>
      </c>
    </row>
    <row r="5" spans="1:13" x14ac:dyDescent="0.2">
      <c r="A5" s="3" t="s">
        <v>4</v>
      </c>
      <c r="B5" s="4" t="s">
        <v>5</v>
      </c>
      <c r="C5" s="5">
        <v>4</v>
      </c>
      <c r="D5" s="11" t="s">
        <v>14</v>
      </c>
      <c r="E5" s="5">
        <v>54</v>
      </c>
      <c r="F5" s="5">
        <v>0.243152869426115</v>
      </c>
      <c r="G5" s="5">
        <f>(E5/1000)*F5</f>
        <v>1.313025494901021E-2</v>
      </c>
      <c r="H5" s="5">
        <v>1.6151706397870367E-3</v>
      </c>
      <c r="I5" s="18">
        <v>4.1977273999999998</v>
      </c>
      <c r="J5" s="19">
        <v>4.4501672628985195E-3</v>
      </c>
      <c r="K5" s="5">
        <f t="shared" si="0"/>
        <v>2.2667727959999997</v>
      </c>
      <c r="L5" s="5">
        <f t="shared" si="1"/>
        <v>10.087518089188144</v>
      </c>
      <c r="M5" s="18">
        <v>37.6809078</v>
      </c>
    </row>
    <row r="6" spans="1:13" x14ac:dyDescent="0.2">
      <c r="A6" s="3" t="s">
        <v>4</v>
      </c>
      <c r="B6" s="6" t="s">
        <v>6</v>
      </c>
      <c r="C6" s="5">
        <v>1</v>
      </c>
      <c r="D6" s="11" t="s">
        <v>15</v>
      </c>
      <c r="E6" s="5">
        <v>117</v>
      </c>
      <c r="F6" s="5">
        <v>0.26423665266946617</v>
      </c>
      <c r="G6" s="5">
        <f t="shared" ref="G6:G58" si="2">(E6/1000)*F6</f>
        <v>3.0915688362327543E-2</v>
      </c>
      <c r="H6" s="5">
        <v>6.0778755095160744E-2</v>
      </c>
      <c r="I6" s="18">
        <v>3.6105507999999999</v>
      </c>
      <c r="J6" s="19">
        <v>2.3005915066708401E-2</v>
      </c>
      <c r="K6" s="5">
        <f t="shared" si="0"/>
        <v>4.224344436</v>
      </c>
      <c r="L6" s="5">
        <f t="shared" si="1"/>
        <v>97.184909307138199</v>
      </c>
      <c r="M6" s="18">
        <v>36.657855900000001</v>
      </c>
    </row>
    <row r="7" spans="1:13" x14ac:dyDescent="0.2">
      <c r="A7" s="3" t="s">
        <v>4</v>
      </c>
      <c r="B7" s="6" t="s">
        <v>6</v>
      </c>
      <c r="C7" s="5">
        <v>3</v>
      </c>
      <c r="D7" s="11" t="s">
        <v>16</v>
      </c>
      <c r="E7" s="5">
        <v>68</v>
      </c>
      <c r="F7" s="5">
        <v>0.27601150000000002</v>
      </c>
      <c r="G7" s="5">
        <f t="shared" si="2"/>
        <v>1.8768782000000001E-2</v>
      </c>
      <c r="H7" s="5">
        <v>4.9378854231834843E-2</v>
      </c>
      <c r="I7" s="18">
        <v>3.5046930000000001</v>
      </c>
      <c r="J7" s="19">
        <v>3.8209995227221016E-2</v>
      </c>
      <c r="K7" s="5">
        <f t="shared" si="0"/>
        <v>2.3831912400000004</v>
      </c>
      <c r="L7" s="5">
        <f t="shared" si="1"/>
        <v>91.06172590595493</v>
      </c>
      <c r="M7" s="18">
        <v>36.377262299999998</v>
      </c>
    </row>
    <row r="8" spans="1:13" x14ac:dyDescent="0.2">
      <c r="A8" s="3" t="s">
        <v>4</v>
      </c>
      <c r="B8" s="6" t="s">
        <v>6</v>
      </c>
      <c r="C8" s="5">
        <v>4</v>
      </c>
      <c r="D8" s="11" t="s">
        <v>17</v>
      </c>
      <c r="E8" s="5">
        <v>128</v>
      </c>
      <c r="F8" s="5">
        <v>0.299938463077847</v>
      </c>
      <c r="G8" s="5">
        <f t="shared" si="2"/>
        <v>3.8392123273964414E-2</v>
      </c>
      <c r="H8" s="5">
        <v>8.5907098172503804E-2</v>
      </c>
      <c r="I8" s="18">
        <v>3.8018033999999998</v>
      </c>
      <c r="J8" s="19">
        <v>2.18071972063868E-2</v>
      </c>
      <c r="K8" s="5">
        <f t="shared" si="0"/>
        <v>4.8663083519999999</v>
      </c>
      <c r="L8" s="5">
        <f t="shared" si="1"/>
        <v>106.12054589915115</v>
      </c>
      <c r="M8" s="18">
        <v>38.585933500000003</v>
      </c>
    </row>
    <row r="9" spans="1:13" x14ac:dyDescent="0.2">
      <c r="A9" s="3" t="s">
        <v>4</v>
      </c>
      <c r="B9" s="6" t="s">
        <v>6</v>
      </c>
      <c r="C9" s="5">
        <v>5</v>
      </c>
      <c r="D9" s="11" t="s">
        <v>18</v>
      </c>
      <c r="E9" s="5">
        <v>72</v>
      </c>
      <c r="F9" s="5">
        <v>0.30476791774805345</v>
      </c>
      <c r="G9" s="5">
        <f t="shared" si="2"/>
        <v>2.1943290077859848E-2</v>
      </c>
      <c r="H9" s="5">
        <v>5.6029425175547924E-2</v>
      </c>
      <c r="I9" s="18">
        <v>3.1089300999999998</v>
      </c>
      <c r="J9" s="19">
        <v>3.0038494637573802E-2</v>
      </c>
      <c r="K9" s="5">
        <f t="shared" si="0"/>
        <v>2.2384296719999996</v>
      </c>
      <c r="L9" s="5">
        <f t="shared" si="1"/>
        <v>67.239057698958078</v>
      </c>
      <c r="M9" s="18">
        <v>36.628353199999999</v>
      </c>
    </row>
    <row r="10" spans="1:13" x14ac:dyDescent="0.2">
      <c r="A10" s="3" t="s">
        <v>4</v>
      </c>
      <c r="B10" s="6" t="s">
        <v>6</v>
      </c>
      <c r="C10" s="5">
        <v>6</v>
      </c>
      <c r="D10" s="11" t="s">
        <v>19</v>
      </c>
      <c r="E10" s="5">
        <v>88</v>
      </c>
      <c r="F10" s="5">
        <v>0.23475540216086399</v>
      </c>
      <c r="G10" s="5">
        <f t="shared" si="2"/>
        <v>2.0658475390156032E-2</v>
      </c>
      <c r="H10" s="5">
        <v>5.7809543830145055E-2</v>
      </c>
      <c r="I10" s="18">
        <v>3.3558653000000001</v>
      </c>
      <c r="J10" s="19">
        <v>2.53601168827929E-2</v>
      </c>
      <c r="K10" s="5">
        <f t="shared" si="0"/>
        <v>2.9531614639999999</v>
      </c>
      <c r="L10" s="5">
        <f t="shared" si="1"/>
        <v>74.892519900799797</v>
      </c>
      <c r="M10" s="18">
        <v>38.885261399999997</v>
      </c>
    </row>
    <row r="11" spans="1:13" x14ac:dyDescent="0.2">
      <c r="A11" s="3" t="s">
        <v>4</v>
      </c>
      <c r="B11" s="7" t="s">
        <v>7</v>
      </c>
      <c r="C11" s="5">
        <v>2</v>
      </c>
      <c r="D11" s="11" t="s">
        <v>20</v>
      </c>
      <c r="E11" s="5">
        <v>172</v>
      </c>
      <c r="F11" s="5">
        <v>0.29307427029188299</v>
      </c>
      <c r="G11" s="5">
        <f t="shared" si="2"/>
        <v>5.0408774490203867E-2</v>
      </c>
      <c r="H11" s="5">
        <v>0.14376119402985074</v>
      </c>
      <c r="I11" s="18">
        <v>3.1019085999999998</v>
      </c>
      <c r="J11" s="19">
        <v>2.1062055068461299E-2</v>
      </c>
      <c r="K11" s="5">
        <f t="shared" si="0"/>
        <v>5.3352827919999992</v>
      </c>
      <c r="L11" s="5">
        <f t="shared" si="1"/>
        <v>112.37201997091793</v>
      </c>
      <c r="M11" s="18">
        <v>36.406746099999999</v>
      </c>
    </row>
    <row r="12" spans="1:13" x14ac:dyDescent="0.2">
      <c r="A12" s="3" t="s">
        <v>4</v>
      </c>
      <c r="B12" s="7" t="s">
        <v>7</v>
      </c>
      <c r="C12" s="5">
        <v>3</v>
      </c>
      <c r="D12" s="11" t="s">
        <v>21</v>
      </c>
      <c r="E12" s="5">
        <v>92</v>
      </c>
      <c r="F12" s="5">
        <v>0.31032211346384397</v>
      </c>
      <c r="G12" s="5">
        <f t="shared" si="2"/>
        <v>2.8549634438673647E-2</v>
      </c>
      <c r="H12" s="5">
        <v>9.0166257320989984E-2</v>
      </c>
      <c r="I12" s="18">
        <v>4.0712912000000001</v>
      </c>
      <c r="J12" s="19">
        <v>3.1771543299229703E-2</v>
      </c>
      <c r="K12" s="5">
        <f t="shared" si="0"/>
        <v>3.7455879040000002</v>
      </c>
      <c r="L12" s="5">
        <f t="shared" si="1"/>
        <v>119.00310827300703</v>
      </c>
      <c r="M12" s="18">
        <v>36.945667399999998</v>
      </c>
    </row>
    <row r="13" spans="1:13" x14ac:dyDescent="0.2">
      <c r="A13" s="3" t="s">
        <v>4</v>
      </c>
      <c r="B13" s="7" t="s">
        <v>7</v>
      </c>
      <c r="C13" s="5">
        <v>4</v>
      </c>
      <c r="D13" s="11" t="s">
        <v>22</v>
      </c>
      <c r="E13" s="5">
        <v>93</v>
      </c>
      <c r="F13" s="5">
        <v>0.31927052127022199</v>
      </c>
      <c r="G13" s="5">
        <f t="shared" si="2"/>
        <v>2.9692158478130646E-2</v>
      </c>
      <c r="H13" s="5">
        <v>6.2448916133617617E-2</v>
      </c>
      <c r="I13" s="18">
        <v>3.8450807</v>
      </c>
      <c r="J13" s="19">
        <v>3.1757644445279301E-2</v>
      </c>
      <c r="K13" s="5">
        <f t="shared" si="0"/>
        <v>3.575925051</v>
      </c>
      <c r="L13" s="5">
        <f t="shared" si="1"/>
        <v>113.56295633262525</v>
      </c>
      <c r="M13" s="18">
        <v>37.583721099999998</v>
      </c>
    </row>
    <row r="14" spans="1:13" x14ac:dyDescent="0.2">
      <c r="A14" s="3" t="s">
        <v>4</v>
      </c>
      <c r="B14" s="7" t="s">
        <v>7</v>
      </c>
      <c r="C14" s="5">
        <v>5</v>
      </c>
      <c r="D14" s="11" t="s">
        <v>23</v>
      </c>
      <c r="E14" s="5">
        <v>80</v>
      </c>
      <c r="F14" s="5">
        <v>0.28213407318535999</v>
      </c>
      <c r="G14" s="5">
        <f t="shared" si="2"/>
        <v>2.2570725854828801E-2</v>
      </c>
      <c r="H14" s="5">
        <v>5.7809936010048697E-2</v>
      </c>
      <c r="I14" s="18">
        <v>4.8567809000000004</v>
      </c>
      <c r="J14" s="19">
        <v>2.787036466277926E-2</v>
      </c>
      <c r="K14" s="5">
        <f t="shared" si="0"/>
        <v>3.8854247200000005</v>
      </c>
      <c r="L14" s="5">
        <f t="shared" si="1"/>
        <v>108.28820381617702</v>
      </c>
      <c r="M14" s="18">
        <v>39.287104599999999</v>
      </c>
    </row>
    <row r="15" spans="1:13" x14ac:dyDescent="0.2">
      <c r="A15" s="3" t="s">
        <v>4</v>
      </c>
      <c r="B15" s="7" t="s">
        <v>7</v>
      </c>
      <c r="C15" s="5">
        <v>6</v>
      </c>
      <c r="D15" s="11" t="s">
        <v>24</v>
      </c>
      <c r="E15" s="5">
        <v>113</v>
      </c>
      <c r="F15" s="5">
        <v>0.28869476104779002</v>
      </c>
      <c r="G15" s="5">
        <f t="shared" si="2"/>
        <v>3.2622507998400274E-2</v>
      </c>
      <c r="H15" s="5">
        <v>7.1687588215862338E-2</v>
      </c>
      <c r="I15" s="18">
        <v>4.3741522000000002</v>
      </c>
      <c r="J15" s="19">
        <v>2.0517153282879501E-2</v>
      </c>
      <c r="K15" s="5">
        <f t="shared" si="0"/>
        <v>4.9427919860000005</v>
      </c>
      <c r="L15" s="5">
        <f t="shared" si="1"/>
        <v>101.4120208221504</v>
      </c>
      <c r="M15" s="18">
        <v>36.7298416</v>
      </c>
    </row>
    <row r="16" spans="1:13" x14ac:dyDescent="0.2">
      <c r="A16" s="3" t="s">
        <v>4</v>
      </c>
      <c r="B16" s="8" t="s">
        <v>8</v>
      </c>
      <c r="C16" s="5">
        <v>2</v>
      </c>
      <c r="D16" s="11" t="s">
        <v>25</v>
      </c>
      <c r="E16" s="5">
        <v>45</v>
      </c>
      <c r="F16" s="5">
        <v>0.42225499001995997</v>
      </c>
      <c r="G16" s="5">
        <f t="shared" si="2"/>
        <v>1.9001474550898199E-2</v>
      </c>
      <c r="H16" s="5">
        <v>0.5537086180101457</v>
      </c>
      <c r="I16" s="18">
        <v>4.3076128000000002</v>
      </c>
      <c r="J16" s="19">
        <v>0.14843938249349201</v>
      </c>
      <c r="K16" s="5">
        <f t="shared" si="0"/>
        <v>1.9384257600000001</v>
      </c>
      <c r="L16" s="5">
        <f t="shared" si="1"/>
        <v>287.73872282387794</v>
      </c>
      <c r="M16" s="18">
        <v>34.565124599999997</v>
      </c>
    </row>
    <row r="17" spans="1:13" x14ac:dyDescent="0.2">
      <c r="A17" s="3" t="s">
        <v>4</v>
      </c>
      <c r="B17" s="8" t="s">
        <v>8</v>
      </c>
      <c r="C17" s="5">
        <v>3</v>
      </c>
      <c r="D17" s="11" t="s">
        <v>26</v>
      </c>
      <c r="E17" s="5">
        <v>156</v>
      </c>
      <c r="F17" s="5">
        <v>0.46300789053136238</v>
      </c>
      <c r="G17" s="5">
        <f t="shared" si="2"/>
        <v>7.2229230922892532E-2</v>
      </c>
      <c r="H17" s="5">
        <v>1.6652822842310187</v>
      </c>
      <c r="I17" s="18">
        <v>5.1603802999999999</v>
      </c>
      <c r="J17" s="19">
        <v>6.7781461106447907E-2</v>
      </c>
      <c r="K17" s="5">
        <f t="shared" si="0"/>
        <v>8.050193268000001</v>
      </c>
      <c r="L17" s="5">
        <f t="shared" si="1"/>
        <v>545.65386189433082</v>
      </c>
      <c r="M17" s="18">
        <v>33.611022400000003</v>
      </c>
    </row>
    <row r="18" spans="1:13" x14ac:dyDescent="0.2">
      <c r="A18" s="3" t="s">
        <v>4</v>
      </c>
      <c r="B18" s="8" t="s">
        <v>8</v>
      </c>
      <c r="C18" s="5">
        <v>4</v>
      </c>
      <c r="D18" s="11" t="s">
        <v>27</v>
      </c>
      <c r="E18" s="5">
        <v>87</v>
      </c>
      <c r="F18" s="5">
        <v>0.4803778953674121</v>
      </c>
      <c r="G18" s="5">
        <f t="shared" si="2"/>
        <v>4.1792876896964849E-2</v>
      </c>
      <c r="H18" s="5">
        <v>0.95925314140758655</v>
      </c>
      <c r="I18" s="18">
        <v>5.0471567999999998</v>
      </c>
      <c r="J18" s="19">
        <v>7.1857996822109263E-2</v>
      </c>
      <c r="K18" s="5">
        <f t="shared" si="0"/>
        <v>4.3910264159999999</v>
      </c>
      <c r="L18" s="5">
        <f t="shared" si="1"/>
        <v>315.53036224672582</v>
      </c>
      <c r="M18" s="18">
        <v>34.414650299999998</v>
      </c>
    </row>
    <row r="19" spans="1:13" x14ac:dyDescent="0.2">
      <c r="A19" s="3" t="s">
        <v>4</v>
      </c>
      <c r="B19" s="8" t="s">
        <v>8</v>
      </c>
      <c r="C19" s="5">
        <v>5</v>
      </c>
      <c r="D19" s="11" t="s">
        <v>28</v>
      </c>
      <c r="E19" s="5">
        <v>52</v>
      </c>
      <c r="F19" s="5">
        <v>0.43391137090327747</v>
      </c>
      <c r="G19" s="5">
        <f t="shared" si="2"/>
        <v>2.2563391286970429E-2</v>
      </c>
      <c r="H19" s="5">
        <v>0.8083913083453369</v>
      </c>
      <c r="I19" s="18">
        <v>4.7959193999999998</v>
      </c>
      <c r="J19" s="19">
        <v>0.1036080771631786</v>
      </c>
      <c r="K19" s="5">
        <f t="shared" si="0"/>
        <v>2.4938780879999998</v>
      </c>
      <c r="L19" s="5">
        <f t="shared" si="1"/>
        <v>258.3859133770643</v>
      </c>
      <c r="M19" s="18">
        <v>34.291514599999999</v>
      </c>
    </row>
    <row r="20" spans="1:13" x14ac:dyDescent="0.2">
      <c r="A20" s="3" t="s">
        <v>4</v>
      </c>
      <c r="B20" s="8" t="s">
        <v>8</v>
      </c>
      <c r="C20" s="5">
        <v>6</v>
      </c>
      <c r="D20" s="11" t="s">
        <v>29</v>
      </c>
      <c r="E20" s="5">
        <v>73</v>
      </c>
      <c r="F20" s="5">
        <v>0.45185264735264702</v>
      </c>
      <c r="G20" s="5">
        <f t="shared" si="2"/>
        <v>3.2985243256743228E-2</v>
      </c>
      <c r="H20" s="5">
        <v>1.0965781212982704</v>
      </c>
      <c r="I20" s="18">
        <v>5.4898907000000001</v>
      </c>
      <c r="J20" s="19">
        <v>9.1700548816110727E-2</v>
      </c>
      <c r="K20" s="5">
        <f t="shared" si="0"/>
        <v>4.0076202109999999</v>
      </c>
      <c r="L20" s="5">
        <f t="shared" si="1"/>
        <v>367.50097279523749</v>
      </c>
      <c r="M20" s="18">
        <v>32.986757099999998</v>
      </c>
    </row>
    <row r="21" spans="1:13" x14ac:dyDescent="0.2">
      <c r="A21" s="9" t="s">
        <v>9</v>
      </c>
      <c r="B21" s="4" t="s">
        <v>5</v>
      </c>
      <c r="C21" s="5">
        <v>1</v>
      </c>
      <c r="D21" s="13" t="s">
        <v>64</v>
      </c>
      <c r="E21" s="5">
        <v>30</v>
      </c>
      <c r="F21" s="5">
        <v>0.15481620553360001</v>
      </c>
      <c r="G21" s="5">
        <f t="shared" si="2"/>
        <v>4.6444861660080005E-3</v>
      </c>
      <c r="H21" s="5">
        <v>1.34328358208955E-3</v>
      </c>
      <c r="I21" s="18">
        <v>3.5503980999999998</v>
      </c>
      <c r="J21" s="19">
        <v>4.1065361666408912E-3</v>
      </c>
      <c r="K21" s="5">
        <f t="shared" si="0"/>
        <v>1.06511943</v>
      </c>
      <c r="L21" s="5">
        <f t="shared" si="1"/>
        <v>4.3739514610869303</v>
      </c>
      <c r="M21" s="18">
        <v>39.731807699999997</v>
      </c>
    </row>
    <row r="22" spans="1:13" x14ac:dyDescent="0.2">
      <c r="A22" s="9" t="s">
        <v>9</v>
      </c>
      <c r="B22" s="4" t="s">
        <v>5</v>
      </c>
      <c r="C22" s="5">
        <v>2</v>
      </c>
      <c r="D22" s="13" t="s">
        <v>65</v>
      </c>
      <c r="E22" s="5">
        <v>9</v>
      </c>
      <c r="F22" s="5">
        <v>0.24765277777778</v>
      </c>
      <c r="G22" s="5">
        <f t="shared" si="2"/>
        <v>2.2288750000000199E-3</v>
      </c>
      <c r="H22" s="5">
        <v>1.3167694461822625E-3</v>
      </c>
      <c r="I22" s="18">
        <v>7.4917873999999998</v>
      </c>
      <c r="J22" s="19">
        <v>4.1213457348283624E-3</v>
      </c>
      <c r="K22" s="5">
        <f t="shared" si="0"/>
        <v>0.6742608659999999</v>
      </c>
      <c r="L22" s="5">
        <f t="shared" si="1"/>
        <v>2.7788621442507777</v>
      </c>
      <c r="M22" s="18">
        <v>37.841540600000002</v>
      </c>
    </row>
    <row r="23" spans="1:13" x14ac:dyDescent="0.2">
      <c r="A23" s="9" t="s">
        <v>9</v>
      </c>
      <c r="B23" s="4" t="s">
        <v>5</v>
      </c>
      <c r="C23" s="5">
        <v>3</v>
      </c>
      <c r="D23" s="13" t="s">
        <v>66</v>
      </c>
      <c r="E23" s="5">
        <v>5</v>
      </c>
      <c r="F23" s="5">
        <v>0.28671371769384002</v>
      </c>
      <c r="G23" s="5">
        <f t="shared" si="2"/>
        <v>1.4335685884692001E-3</v>
      </c>
      <c r="H23" s="5">
        <v>3.6254371705827294E-3</v>
      </c>
      <c r="I23" s="18">
        <v>5.6506328000000003</v>
      </c>
      <c r="J23" s="19">
        <v>3.983903415353653E-3</v>
      </c>
      <c r="K23" s="5">
        <f t="shared" si="0"/>
        <v>0.28253164000000003</v>
      </c>
      <c r="L23" s="5">
        <f t="shared" si="1"/>
        <v>1.1255787655414689</v>
      </c>
      <c r="M23" s="18">
        <v>39.446368</v>
      </c>
    </row>
    <row r="24" spans="1:13" x14ac:dyDescent="0.2">
      <c r="A24" s="9" t="s">
        <v>9</v>
      </c>
      <c r="B24" s="4" t="s">
        <v>5</v>
      </c>
      <c r="C24" s="5">
        <v>4</v>
      </c>
      <c r="D24" s="13" t="s">
        <v>67</v>
      </c>
      <c r="E24" s="5">
        <v>9</v>
      </c>
      <c r="F24" s="5">
        <v>0.28567181814999998</v>
      </c>
      <c r="G24" s="5">
        <f t="shared" si="2"/>
        <v>2.5710463633499994E-3</v>
      </c>
      <c r="H24" s="5">
        <v>1.3131896525519044E-3</v>
      </c>
      <c r="I24" s="18">
        <v>3.8946320000000001</v>
      </c>
      <c r="J24" s="19">
        <v>4.0856416071416608E-3</v>
      </c>
      <c r="K24" s="5">
        <f t="shared" si="0"/>
        <v>0.35051687999999998</v>
      </c>
      <c r="L24" s="5">
        <f t="shared" si="1"/>
        <v>1.4320863489334807</v>
      </c>
      <c r="M24" s="18">
        <v>40.079767099999998</v>
      </c>
    </row>
    <row r="25" spans="1:13" x14ac:dyDescent="0.2">
      <c r="A25" s="9" t="s">
        <v>9</v>
      </c>
      <c r="B25" s="6" t="s">
        <v>6</v>
      </c>
      <c r="C25" s="5">
        <v>1</v>
      </c>
      <c r="D25" s="11" t="s">
        <v>30</v>
      </c>
      <c r="E25" s="5">
        <v>80</v>
      </c>
      <c r="F25" s="5">
        <v>0.250478533593532</v>
      </c>
      <c r="G25" s="5">
        <f t="shared" si="2"/>
        <v>2.0038282687482561E-2</v>
      </c>
      <c r="H25" s="5">
        <v>0.29555194325402689</v>
      </c>
      <c r="I25" s="18">
        <v>3.7373094999999998</v>
      </c>
      <c r="J25" s="19">
        <v>9.2876880924804534E-2</v>
      </c>
      <c r="K25" s="5">
        <f t="shared" si="0"/>
        <v>2.9898476</v>
      </c>
      <c r="L25" s="5">
        <f t="shared" si="1"/>
        <v>277.68771952851262</v>
      </c>
      <c r="M25" s="18">
        <v>40.191858400000001</v>
      </c>
    </row>
    <row r="26" spans="1:13" x14ac:dyDescent="0.2">
      <c r="A26" s="9" t="s">
        <v>9</v>
      </c>
      <c r="B26" s="6" t="s">
        <v>6</v>
      </c>
      <c r="C26" s="5">
        <v>2</v>
      </c>
      <c r="D26" s="11" t="s">
        <v>31</v>
      </c>
      <c r="E26" s="5">
        <v>21</v>
      </c>
      <c r="F26" s="5">
        <v>0.33029409442602198</v>
      </c>
      <c r="G26" s="5">
        <f t="shared" si="2"/>
        <v>6.9361759829464622E-3</v>
      </c>
      <c r="H26" s="5">
        <v>7.6972700348942907E-2</v>
      </c>
      <c r="I26" s="18">
        <v>7.6047617000000001</v>
      </c>
      <c r="J26" s="19">
        <v>0.14927551245235113</v>
      </c>
      <c r="K26" s="5">
        <f t="shared" si="0"/>
        <v>1.596999957</v>
      </c>
      <c r="L26" s="5">
        <f t="shared" si="1"/>
        <v>238.3929869675577</v>
      </c>
      <c r="M26" s="18">
        <v>40.793578199999999</v>
      </c>
    </row>
    <row r="27" spans="1:13" x14ac:dyDescent="0.2">
      <c r="A27" s="9" t="s">
        <v>9</v>
      </c>
      <c r="B27" s="6" t="s">
        <v>6</v>
      </c>
      <c r="C27" s="5">
        <v>4</v>
      </c>
      <c r="D27" s="11" t="s">
        <v>32</v>
      </c>
      <c r="E27" s="5">
        <v>16</v>
      </c>
      <c r="F27" s="5">
        <v>0.384881847133758</v>
      </c>
      <c r="G27" s="5">
        <f t="shared" si="2"/>
        <v>6.158109554140128E-3</v>
      </c>
      <c r="H27" s="5">
        <v>5.8302238805970144E-2</v>
      </c>
      <c r="I27" s="18">
        <v>6.6909780000000003</v>
      </c>
      <c r="J27" s="19">
        <v>0.16788056034327326</v>
      </c>
      <c r="K27" s="5">
        <f t="shared" si="0"/>
        <v>1.07055648</v>
      </c>
      <c r="L27" s="5">
        <f t="shared" si="1"/>
        <v>179.72562174152222</v>
      </c>
      <c r="M27" s="18">
        <v>41.664679599999999</v>
      </c>
    </row>
    <row r="28" spans="1:13" x14ac:dyDescent="0.2">
      <c r="A28" s="9" t="s">
        <v>9</v>
      </c>
      <c r="B28" s="6" t="s">
        <v>6</v>
      </c>
      <c r="C28" s="5">
        <v>5</v>
      </c>
      <c r="D28" s="11" t="s">
        <v>33</v>
      </c>
      <c r="E28" s="5">
        <v>60</v>
      </c>
      <c r="F28" s="5">
        <v>0.19601961792799411</v>
      </c>
      <c r="G28" s="5">
        <f t="shared" si="2"/>
        <v>1.1761177075679646E-2</v>
      </c>
      <c r="H28" s="5">
        <v>0.22343372955581373</v>
      </c>
      <c r="I28" s="18">
        <v>4.828748</v>
      </c>
      <c r="J28" s="19">
        <v>8.9990138093588093E-2</v>
      </c>
      <c r="K28" s="5">
        <f t="shared" si="0"/>
        <v>2.8972487999999998</v>
      </c>
      <c r="L28" s="5">
        <f t="shared" si="1"/>
        <v>260.72381960348241</v>
      </c>
      <c r="M28" s="18">
        <v>40.321877000000001</v>
      </c>
    </row>
    <row r="29" spans="1:13" x14ac:dyDescent="0.2">
      <c r="A29" s="9" t="s">
        <v>9</v>
      </c>
      <c r="B29" s="6" t="s">
        <v>6</v>
      </c>
      <c r="C29" s="5">
        <v>6</v>
      </c>
      <c r="D29" s="11" t="s">
        <v>34</v>
      </c>
      <c r="E29" s="5">
        <v>35</v>
      </c>
      <c r="F29" s="5">
        <v>0.20592288213627996</v>
      </c>
      <c r="G29" s="5">
        <f t="shared" si="2"/>
        <v>7.2073008747697989E-3</v>
      </c>
      <c r="H29" s="5">
        <v>0.12956053067993364</v>
      </c>
      <c r="I29" s="18">
        <v>4.5806763000000004</v>
      </c>
      <c r="J29" s="19">
        <v>0.14786103147967442</v>
      </c>
      <c r="K29" s="5">
        <f t="shared" si="0"/>
        <v>1.6032367050000003</v>
      </c>
      <c r="L29" s="5">
        <f t="shared" si="1"/>
        <v>237.05623290737452</v>
      </c>
      <c r="M29" s="18">
        <v>41.236125399999999</v>
      </c>
    </row>
    <row r="30" spans="1:13" x14ac:dyDescent="0.2">
      <c r="A30" s="9" t="s">
        <v>9</v>
      </c>
      <c r="B30" s="7" t="s">
        <v>7</v>
      </c>
      <c r="C30" s="5">
        <v>1</v>
      </c>
      <c r="D30" s="11" t="s">
        <v>35</v>
      </c>
      <c r="E30" s="5">
        <v>46</v>
      </c>
      <c r="F30" s="5">
        <v>0.254892364305428</v>
      </c>
      <c r="G30" s="5">
        <f t="shared" si="2"/>
        <v>1.1725048758049687E-2</v>
      </c>
      <c r="H30" s="5">
        <v>0.1712991926594572</v>
      </c>
      <c r="I30" s="18">
        <v>4.6695149999999996</v>
      </c>
      <c r="J30" s="19">
        <v>0.19178663152720979</v>
      </c>
      <c r="K30" s="5">
        <f t="shared" si="0"/>
        <v>2.1479768999999997</v>
      </c>
      <c r="L30" s="5">
        <f t="shared" si="1"/>
        <v>411.95325424925835</v>
      </c>
      <c r="M30" s="18">
        <v>40.1893241</v>
      </c>
    </row>
    <row r="31" spans="1:13" x14ac:dyDescent="0.2">
      <c r="A31" s="9" t="s">
        <v>9</v>
      </c>
      <c r="B31" s="7" t="s">
        <v>7</v>
      </c>
      <c r="C31" s="5">
        <v>2</v>
      </c>
      <c r="D31" s="11" t="s">
        <v>36</v>
      </c>
      <c r="E31" s="5">
        <v>19</v>
      </c>
      <c r="F31" s="5">
        <v>0.24295367975546672</v>
      </c>
      <c r="G31" s="5">
        <f t="shared" si="2"/>
        <v>4.6161199153538675E-3</v>
      </c>
      <c r="H31" s="5">
        <v>7.1180243361505718E-2</v>
      </c>
      <c r="I31" s="18">
        <v>7.4084080999999999</v>
      </c>
      <c r="J31" s="19">
        <v>0.15647347685218599</v>
      </c>
      <c r="K31" s="5">
        <f t="shared" si="0"/>
        <v>1.407597539</v>
      </c>
      <c r="L31" s="5">
        <f t="shared" si="1"/>
        <v>220.25168093591046</v>
      </c>
      <c r="M31" s="18">
        <v>41.688158199999997</v>
      </c>
    </row>
    <row r="32" spans="1:13" x14ac:dyDescent="0.2">
      <c r="A32" s="9" t="s">
        <v>9</v>
      </c>
      <c r="B32" s="7" t="s">
        <v>7</v>
      </c>
      <c r="C32" s="5">
        <v>3</v>
      </c>
      <c r="D32" s="11" t="s">
        <v>37</v>
      </c>
      <c r="E32" s="5">
        <v>63</v>
      </c>
      <c r="F32" s="5">
        <v>0.233754361479414</v>
      </c>
      <c r="G32" s="5">
        <f t="shared" si="2"/>
        <v>1.4726524773203083E-2</v>
      </c>
      <c r="H32" s="5">
        <v>0.23367259131776502</v>
      </c>
      <c r="I32" s="18">
        <v>4.3296317000000002</v>
      </c>
      <c r="J32" s="19">
        <v>9.842083123762399E-2</v>
      </c>
      <c r="K32" s="5">
        <f t="shared" si="0"/>
        <v>2.7276679710000002</v>
      </c>
      <c r="L32" s="5">
        <f t="shared" si="1"/>
        <v>268.45934904606327</v>
      </c>
      <c r="M32" s="18">
        <v>40.137992199999999</v>
      </c>
    </row>
    <row r="33" spans="1:13" x14ac:dyDescent="0.2">
      <c r="A33" s="9" t="s">
        <v>9</v>
      </c>
      <c r="B33" s="7" t="s">
        <v>7</v>
      </c>
      <c r="C33" s="5">
        <v>5</v>
      </c>
      <c r="D33" s="11" t="s">
        <v>38</v>
      </c>
      <c r="E33" s="5">
        <v>56</v>
      </c>
      <c r="F33" s="5">
        <v>0.20672782258059999</v>
      </c>
      <c r="G33" s="5">
        <f t="shared" si="2"/>
        <v>1.1576758064513601E-2</v>
      </c>
      <c r="H33" s="5">
        <v>0.21064034665382761</v>
      </c>
      <c r="I33" s="18">
        <v>4.7045674000000002</v>
      </c>
      <c r="J33" s="19">
        <v>0.11857588227336818</v>
      </c>
      <c r="K33" s="5">
        <f t="shared" si="0"/>
        <v>2.6345577439999999</v>
      </c>
      <c r="L33" s="5">
        <f t="shared" si="1"/>
        <v>312.39500889493445</v>
      </c>
      <c r="M33" s="18">
        <v>41.521854900000001</v>
      </c>
    </row>
    <row r="34" spans="1:13" x14ac:dyDescent="0.2">
      <c r="A34" s="9" t="s">
        <v>9</v>
      </c>
      <c r="B34" s="7" t="s">
        <v>7</v>
      </c>
      <c r="C34" s="5">
        <v>6</v>
      </c>
      <c r="D34" s="11" t="s">
        <v>39</v>
      </c>
      <c r="E34" s="5">
        <v>49</v>
      </c>
      <c r="F34" s="5">
        <v>0.21409719438878</v>
      </c>
      <c r="G34" s="5">
        <f t="shared" si="2"/>
        <v>1.0490762525050221E-2</v>
      </c>
      <c r="H34" s="5">
        <v>0.1832022253462148</v>
      </c>
      <c r="I34" s="18">
        <v>4.8419618</v>
      </c>
      <c r="J34" s="19">
        <v>0.27869713836492949</v>
      </c>
      <c r="K34" s="5">
        <f t="shared" si="0"/>
        <v>2.3725612819999999</v>
      </c>
      <c r="L34" s="5">
        <f t="shared" si="1"/>
        <v>661.22603988882838</v>
      </c>
      <c r="M34" s="18">
        <v>40.3297776</v>
      </c>
    </row>
    <row r="35" spans="1:13" x14ac:dyDescent="0.2">
      <c r="A35" s="9" t="s">
        <v>9</v>
      </c>
      <c r="B35" s="8" t="s">
        <v>8</v>
      </c>
      <c r="C35" s="5">
        <v>1</v>
      </c>
      <c r="D35" s="11" t="s">
        <v>40</v>
      </c>
      <c r="E35" s="5">
        <v>23</v>
      </c>
      <c r="F35" s="5">
        <v>0.15040818363273001</v>
      </c>
      <c r="G35" s="5">
        <f t="shared" si="2"/>
        <v>3.4593882235527903E-3</v>
      </c>
      <c r="H35" s="5">
        <v>3.2957964667679564E-2</v>
      </c>
      <c r="I35" s="18">
        <v>2.391645</v>
      </c>
      <c r="J35" s="19">
        <v>2.8910444054842506E-2</v>
      </c>
      <c r="K35" s="5">
        <f t="shared" si="0"/>
        <v>0.55007835000000005</v>
      </c>
      <c r="L35" s="5">
        <f t="shared" si="1"/>
        <v>15.903009363455077</v>
      </c>
      <c r="M35" s="18">
        <v>40.876282199999999</v>
      </c>
    </row>
    <row r="36" spans="1:13" x14ac:dyDescent="0.2">
      <c r="A36" s="9" t="s">
        <v>9</v>
      </c>
      <c r="B36" s="8" t="s">
        <v>8</v>
      </c>
      <c r="C36" s="5">
        <v>2</v>
      </c>
      <c r="D36" s="11" t="s">
        <v>41</v>
      </c>
      <c r="E36" s="5">
        <v>18</v>
      </c>
      <c r="F36" s="5">
        <v>0.20236013238289199</v>
      </c>
      <c r="G36" s="5">
        <f t="shared" si="2"/>
        <v>3.6424823828920556E-3</v>
      </c>
      <c r="H36" s="5">
        <v>1.9758137025714804E-2</v>
      </c>
      <c r="I36" s="18">
        <v>5.8588452999999996</v>
      </c>
      <c r="J36" s="19">
        <v>2.5118278346760999E-2</v>
      </c>
      <c r="K36" s="5">
        <f t="shared" si="0"/>
        <v>1.0545921539999998</v>
      </c>
      <c r="L36" s="5">
        <f t="shared" si="1"/>
        <v>26.48953926648224</v>
      </c>
      <c r="M36" s="18">
        <v>37.0443487</v>
      </c>
    </row>
    <row r="37" spans="1:13" x14ac:dyDescent="0.2">
      <c r="A37" s="9" t="s">
        <v>9</v>
      </c>
      <c r="B37" s="8" t="s">
        <v>8</v>
      </c>
      <c r="C37" s="5">
        <v>3</v>
      </c>
      <c r="D37" s="11" t="s">
        <v>42</v>
      </c>
      <c r="E37" s="5">
        <v>19</v>
      </c>
      <c r="F37" s="5">
        <v>0.20739840000000001</v>
      </c>
      <c r="G37" s="5">
        <f t="shared" si="2"/>
        <v>3.9405695999999999E-3</v>
      </c>
      <c r="H37" s="5">
        <v>1.942227233613246E-2</v>
      </c>
      <c r="I37" s="18">
        <v>3.6850236999999999</v>
      </c>
      <c r="J37" s="19">
        <v>2.80075721440372E-2</v>
      </c>
      <c r="K37" s="5">
        <f t="shared" si="0"/>
        <v>0.70015450299999993</v>
      </c>
      <c r="L37" s="5">
        <f t="shared" si="1"/>
        <v>19.609627754745009</v>
      </c>
      <c r="M37" s="18">
        <v>37.713606200000001</v>
      </c>
    </row>
    <row r="38" spans="1:13" x14ac:dyDescent="0.2">
      <c r="A38" s="9" t="s">
        <v>9</v>
      </c>
      <c r="B38" s="8" t="s">
        <v>8</v>
      </c>
      <c r="C38" s="5">
        <v>4</v>
      </c>
      <c r="D38" s="11" t="s">
        <v>43</v>
      </c>
      <c r="E38" s="5">
        <v>17</v>
      </c>
      <c r="F38" s="5">
        <v>0.20448340040241</v>
      </c>
      <c r="G38" s="5">
        <f t="shared" si="2"/>
        <v>3.4762178068409701E-3</v>
      </c>
      <c r="H38" s="5">
        <v>2.4350024073182475E-2</v>
      </c>
      <c r="I38" s="18">
        <v>4.6414111</v>
      </c>
      <c r="J38" s="19">
        <v>3.2590000301158002E-2</v>
      </c>
      <c r="K38" s="5">
        <f t="shared" si="0"/>
        <v>0.78903988699999994</v>
      </c>
      <c r="L38" s="5">
        <f t="shared" si="1"/>
        <v>25.714810154955675</v>
      </c>
      <c r="M38" s="18">
        <v>37.342693799999999</v>
      </c>
    </row>
    <row r="39" spans="1:13" x14ac:dyDescent="0.2">
      <c r="A39" s="9" t="s">
        <v>9</v>
      </c>
      <c r="B39" s="8" t="s">
        <v>8</v>
      </c>
      <c r="C39" s="5">
        <v>5</v>
      </c>
      <c r="D39" s="11" t="s">
        <v>44</v>
      </c>
      <c r="E39" s="5">
        <v>14</v>
      </c>
      <c r="F39" s="5">
        <v>0.24620726915520999</v>
      </c>
      <c r="G39" s="5">
        <f t="shared" si="2"/>
        <v>3.4469017681729398E-3</v>
      </c>
      <c r="H39" s="5">
        <v>1.9712559447252715E-2</v>
      </c>
      <c r="I39" s="18">
        <v>5.1088817999999998</v>
      </c>
      <c r="J39" s="19">
        <v>3.3595262068841003E-2</v>
      </c>
      <c r="K39" s="5">
        <f t="shared" si="0"/>
        <v>0.71524345199999995</v>
      </c>
      <c r="L39" s="5">
        <f t="shared" si="1"/>
        <v>24.028791212962499</v>
      </c>
      <c r="M39" s="18">
        <v>39.634146899999998</v>
      </c>
    </row>
    <row r="40" spans="1:13" x14ac:dyDescent="0.2">
      <c r="A40" s="10" t="s">
        <v>10</v>
      </c>
      <c r="B40" s="4" t="s">
        <v>5</v>
      </c>
      <c r="C40" s="5">
        <v>1</v>
      </c>
      <c r="D40" s="12" t="s">
        <v>45</v>
      </c>
      <c r="E40" s="5">
        <v>150</v>
      </c>
      <c r="F40" s="5">
        <v>0.32907413256572404</v>
      </c>
      <c r="G40" s="5">
        <f t="shared" si="2"/>
        <v>4.9361119884858605E-2</v>
      </c>
      <c r="H40" s="5">
        <v>1.7838373524730472E-3</v>
      </c>
      <c r="I40" s="18">
        <v>3.5267963999999998</v>
      </c>
      <c r="J40" s="19">
        <v>4.0020831135902856E-3</v>
      </c>
      <c r="K40" s="5">
        <f>(E40*I40)/100</f>
        <v>5.2901945999999995</v>
      </c>
      <c r="L40" s="5">
        <f>(E40*I40*J40)*10</f>
        <v>21.171798476266517</v>
      </c>
      <c r="M40" s="18">
        <v>29.052460700000001</v>
      </c>
    </row>
    <row r="41" spans="1:13" x14ac:dyDescent="0.2">
      <c r="A41" s="10" t="s">
        <v>10</v>
      </c>
      <c r="B41" s="4" t="s">
        <v>5</v>
      </c>
      <c r="C41" s="5">
        <v>2</v>
      </c>
      <c r="D41" s="12" t="s">
        <v>46</v>
      </c>
      <c r="E41" s="5">
        <v>266</v>
      </c>
      <c r="F41" s="5">
        <v>0.253461840583109</v>
      </c>
      <c r="G41" s="5">
        <f t="shared" si="2"/>
        <v>6.7420849595106996E-2</v>
      </c>
      <c r="H41" s="5">
        <v>3.722388059701493E-3</v>
      </c>
      <c r="I41" s="18">
        <v>4.1059896</v>
      </c>
      <c r="J41" s="19">
        <v>4.0590372007960488E-3</v>
      </c>
      <c r="K41" s="5">
        <f t="shared" si="0"/>
        <v>10.921932335999999</v>
      </c>
      <c r="L41" s="5">
        <f t="shared" si="1"/>
        <v>44.332529656401292</v>
      </c>
      <c r="M41" s="18">
        <v>29.197813</v>
      </c>
    </row>
    <row r="42" spans="1:13" x14ac:dyDescent="0.2">
      <c r="A42" s="10" t="s">
        <v>10</v>
      </c>
      <c r="B42" s="4" t="s">
        <v>5</v>
      </c>
      <c r="C42" s="5">
        <v>4</v>
      </c>
      <c r="D42" s="12" t="s">
        <v>47</v>
      </c>
      <c r="E42" s="5">
        <v>176</v>
      </c>
      <c r="F42" s="5">
        <v>0.39144938207438212</v>
      </c>
      <c r="G42" s="5">
        <f t="shared" si="2"/>
        <v>6.8895091245091244E-2</v>
      </c>
      <c r="H42" s="5">
        <v>5.5667607906413879E-3</v>
      </c>
      <c r="I42" s="18">
        <v>3.8498488000000002</v>
      </c>
      <c r="J42" s="19">
        <v>4.0160535428420451E-3</v>
      </c>
      <c r="K42" s="5">
        <f t="shared" si="0"/>
        <v>6.7757338879999995</v>
      </c>
      <c r="L42" s="5">
        <f t="shared" si="1"/>
        <v>27.211710086257305</v>
      </c>
      <c r="M42" s="18">
        <v>28.272214699999999</v>
      </c>
    </row>
    <row r="43" spans="1:13" x14ac:dyDescent="0.2">
      <c r="A43" s="10" t="s">
        <v>10</v>
      </c>
      <c r="B43" s="4" t="s">
        <v>5</v>
      </c>
      <c r="C43" s="5">
        <v>5</v>
      </c>
      <c r="D43" s="12" t="s">
        <v>48</v>
      </c>
      <c r="E43" s="5">
        <v>179</v>
      </c>
      <c r="F43" s="5">
        <v>0.33337130475195698</v>
      </c>
      <c r="G43" s="5">
        <f t="shared" si="2"/>
        <v>5.9673463550600298E-2</v>
      </c>
      <c r="H43" s="5">
        <v>1.7213041933191186E-3</v>
      </c>
      <c r="I43" s="18">
        <v>3.2910363</v>
      </c>
      <c r="J43" s="19">
        <v>4.1451020049039404E-3</v>
      </c>
      <c r="K43" s="5">
        <f t="shared" si="0"/>
        <v>5.8909549769999998</v>
      </c>
      <c r="L43" s="5">
        <f t="shared" si="1"/>
        <v>24.418609285961548</v>
      </c>
      <c r="M43" s="18">
        <v>29.936898200000002</v>
      </c>
    </row>
    <row r="44" spans="1:13" x14ac:dyDescent="0.2">
      <c r="A44" s="10" t="s">
        <v>10</v>
      </c>
      <c r="B44" s="6" t="s">
        <v>6</v>
      </c>
      <c r="C44" s="5">
        <v>1</v>
      </c>
      <c r="D44" s="12" t="s">
        <v>49</v>
      </c>
      <c r="E44" s="5">
        <v>198</v>
      </c>
      <c r="F44" s="5">
        <v>0.56759472277195899</v>
      </c>
      <c r="G44" s="5">
        <f t="shared" si="2"/>
        <v>0.11238375510884789</v>
      </c>
      <c r="H44" s="5">
        <v>0.34570267474508648</v>
      </c>
      <c r="I44" s="18">
        <v>3.5090267000000002</v>
      </c>
      <c r="J44" s="19">
        <v>0.10188178943838112</v>
      </c>
      <c r="K44" s="5">
        <f t="shared" si="0"/>
        <v>6.947872866</v>
      </c>
      <c r="L44" s="5">
        <f t="shared" si="1"/>
        <v>707.86172037845358</v>
      </c>
      <c r="M44" s="18">
        <v>30.897967900000001</v>
      </c>
    </row>
    <row r="45" spans="1:13" x14ac:dyDescent="0.2">
      <c r="A45" s="10" t="s">
        <v>10</v>
      </c>
      <c r="B45" s="6" t="s">
        <v>6</v>
      </c>
      <c r="C45" s="5">
        <v>2</v>
      </c>
      <c r="D45" s="12" t="s">
        <v>50</v>
      </c>
      <c r="E45" s="5">
        <v>323</v>
      </c>
      <c r="F45" s="5">
        <v>0.44898171687073202</v>
      </c>
      <c r="G45" s="5">
        <f>(E45/1000)*F45</f>
        <v>0.14502109454924644</v>
      </c>
      <c r="H45" s="5">
        <v>0.71658683443947269</v>
      </c>
      <c r="I45" s="18">
        <v>2.7516785000000001</v>
      </c>
      <c r="J45" s="19">
        <v>0.10934634243684067</v>
      </c>
      <c r="K45" s="5">
        <f t="shared" si="0"/>
        <v>8.8879215550000001</v>
      </c>
      <c r="L45" s="5">
        <f t="shared" si="1"/>
        <v>971.86171390480752</v>
      </c>
      <c r="M45" s="18">
        <v>30.7074988</v>
      </c>
    </row>
    <row r="46" spans="1:13" x14ac:dyDescent="0.2">
      <c r="A46" s="10" t="s">
        <v>10</v>
      </c>
      <c r="B46" s="6" t="s">
        <v>6</v>
      </c>
      <c r="C46" s="5">
        <v>3</v>
      </c>
      <c r="D46" s="12" t="s">
        <v>51</v>
      </c>
      <c r="E46" s="5">
        <v>385</v>
      </c>
      <c r="F46" s="5">
        <v>0.43450184338192299</v>
      </c>
      <c r="G46" s="5">
        <f t="shared" si="2"/>
        <v>0.16728320970204036</v>
      </c>
      <c r="H46" s="5">
        <v>0.92505786178451688</v>
      </c>
      <c r="I46" s="18">
        <v>3.2540293</v>
      </c>
      <c r="J46" s="19">
        <v>6.7898604901873327E-2</v>
      </c>
      <c r="K46" s="5">
        <f t="shared" si="0"/>
        <v>12.528012805000001</v>
      </c>
      <c r="L46" s="5">
        <f t="shared" si="1"/>
        <v>850.63459165230483</v>
      </c>
      <c r="M46" s="18">
        <v>31.361966599999999</v>
      </c>
    </row>
    <row r="47" spans="1:13" x14ac:dyDescent="0.2">
      <c r="A47" s="10" t="s">
        <v>10</v>
      </c>
      <c r="B47" s="6" t="s">
        <v>6</v>
      </c>
      <c r="C47" s="5">
        <v>5</v>
      </c>
      <c r="D47" s="12" t="s">
        <v>52</v>
      </c>
      <c r="E47" s="5">
        <v>151</v>
      </c>
      <c r="F47" s="5">
        <v>0.48260334878400801</v>
      </c>
      <c r="G47" s="5">
        <f t="shared" si="2"/>
        <v>7.2873105666385204E-2</v>
      </c>
      <c r="H47" s="5">
        <v>0.32488710670615495</v>
      </c>
      <c r="I47" s="18">
        <v>4.0550784999999996</v>
      </c>
      <c r="J47" s="19">
        <v>7.8036880376607429E-2</v>
      </c>
      <c r="K47" s="5">
        <f t="shared" si="0"/>
        <v>6.1231685349999996</v>
      </c>
      <c r="L47" s="5">
        <f t="shared" si="1"/>
        <v>477.83297049160154</v>
      </c>
      <c r="M47" s="18">
        <v>31.055623799999999</v>
      </c>
    </row>
    <row r="48" spans="1:13" x14ac:dyDescent="0.2">
      <c r="A48" s="10" t="s">
        <v>10</v>
      </c>
      <c r="B48" s="6" t="s">
        <v>6</v>
      </c>
      <c r="C48" s="5">
        <v>6</v>
      </c>
      <c r="D48" s="12" t="s">
        <v>53</v>
      </c>
      <c r="E48" s="5">
        <v>208</v>
      </c>
      <c r="F48" s="5">
        <v>0.55610414631300698</v>
      </c>
      <c r="G48" s="5">
        <f t="shared" si="2"/>
        <v>0.11566966243310545</v>
      </c>
      <c r="H48" s="5">
        <v>1.1890271960356322</v>
      </c>
      <c r="I48" s="18">
        <v>3.8730636999999999</v>
      </c>
      <c r="J48" s="19">
        <v>7.2997590687780889E-2</v>
      </c>
      <c r="K48" s="5">
        <f t="shared" si="0"/>
        <v>8.055972495999999</v>
      </c>
      <c r="L48" s="5">
        <f t="shared" si="1"/>
        <v>588.06658285502851</v>
      </c>
      <c r="M48" s="18">
        <v>31.343753899999999</v>
      </c>
    </row>
    <row r="49" spans="1:13" x14ac:dyDescent="0.2">
      <c r="A49" s="10" t="s">
        <v>10</v>
      </c>
      <c r="B49" s="7" t="s">
        <v>7</v>
      </c>
      <c r="C49" s="5">
        <v>1</v>
      </c>
      <c r="D49" s="12" t="s">
        <v>54</v>
      </c>
      <c r="E49" s="5">
        <v>102</v>
      </c>
      <c r="F49" s="5">
        <v>0.69891245558112802</v>
      </c>
      <c r="G49" s="5">
        <f t="shared" si="2"/>
        <v>7.1289070469275059E-2</v>
      </c>
      <c r="H49" s="5">
        <v>0.29116423809804726</v>
      </c>
      <c r="I49" s="18">
        <v>3.9511525999999999</v>
      </c>
      <c r="J49" s="19">
        <v>0.15302296626006673</v>
      </c>
      <c r="K49" s="5">
        <f t="shared" si="0"/>
        <v>4.0301756519999996</v>
      </c>
      <c r="L49" s="5">
        <f t="shared" si="1"/>
        <v>616.70943281813845</v>
      </c>
      <c r="M49" s="18">
        <v>34.6492741</v>
      </c>
    </row>
    <row r="50" spans="1:13" x14ac:dyDescent="0.2">
      <c r="A50" s="10" t="s">
        <v>10</v>
      </c>
      <c r="B50" s="7" t="s">
        <v>7</v>
      </c>
      <c r="C50" s="5">
        <v>2</v>
      </c>
      <c r="D50" s="12" t="s">
        <v>55</v>
      </c>
      <c r="E50" s="5">
        <v>414</v>
      </c>
      <c r="F50" s="5">
        <v>0.56421959878813299</v>
      </c>
      <c r="G50" s="5">
        <f t="shared" si="2"/>
        <v>0.23358691389828704</v>
      </c>
      <c r="H50" s="5">
        <v>1.0254748982360922</v>
      </c>
      <c r="I50" s="18">
        <v>2.7217452999999998</v>
      </c>
      <c r="J50" s="19">
        <v>0.15127158704706359</v>
      </c>
      <c r="K50" s="5">
        <f t="shared" si="0"/>
        <v>11.268025542</v>
      </c>
      <c r="L50" s="5">
        <f t="shared" si="1"/>
        <v>1704.532106625189</v>
      </c>
      <c r="M50" s="18">
        <v>32.966840599999998</v>
      </c>
    </row>
    <row r="51" spans="1:13" x14ac:dyDescent="0.2">
      <c r="A51" s="10" t="s">
        <v>10</v>
      </c>
      <c r="B51" s="7" t="s">
        <v>7</v>
      </c>
      <c r="C51" s="5">
        <v>3</v>
      </c>
      <c r="D51" s="12" t="s">
        <v>56</v>
      </c>
      <c r="E51" s="5">
        <v>323</v>
      </c>
      <c r="F51" s="5">
        <v>0.55734223830151974</v>
      </c>
      <c r="G51" s="5">
        <f>(E51/1000)*F51</f>
        <v>0.18002154297139089</v>
      </c>
      <c r="H51" s="5">
        <v>0.81759135868277666</v>
      </c>
      <c r="I51" s="18">
        <v>3.072025</v>
      </c>
      <c r="J51" s="19">
        <v>0.17920083211451723</v>
      </c>
      <c r="K51" s="5">
        <f t="shared" si="0"/>
        <v>9.9226407500000011</v>
      </c>
      <c r="L51" s="5">
        <f t="shared" si="1"/>
        <v>1778.1454791734175</v>
      </c>
      <c r="M51" s="18">
        <v>34.318685000000002</v>
      </c>
    </row>
    <row r="52" spans="1:13" x14ac:dyDescent="0.2">
      <c r="A52" s="10" t="s">
        <v>10</v>
      </c>
      <c r="B52" s="7" t="s">
        <v>7</v>
      </c>
      <c r="C52" s="5">
        <v>4</v>
      </c>
      <c r="D52" s="12" t="s">
        <v>57</v>
      </c>
      <c r="E52" s="5">
        <v>182</v>
      </c>
      <c r="F52" s="5">
        <v>0.50314597976059405</v>
      </c>
      <c r="G52" s="5">
        <f t="shared" si="2"/>
        <v>9.1572568316428113E-2</v>
      </c>
      <c r="H52" s="5">
        <v>0.75225065150438286</v>
      </c>
      <c r="I52" s="18">
        <v>4.0553024000000004</v>
      </c>
      <c r="J52" s="19">
        <v>0.15435554727261791</v>
      </c>
      <c r="K52" s="5">
        <f t="shared" si="0"/>
        <v>7.3806503680000004</v>
      </c>
      <c r="L52" s="5">
        <f t="shared" si="1"/>
        <v>1139.2443267804888</v>
      </c>
      <c r="M52" s="18">
        <v>34.387667299999997</v>
      </c>
    </row>
    <row r="53" spans="1:13" x14ac:dyDescent="0.2">
      <c r="A53" s="10" t="s">
        <v>10</v>
      </c>
      <c r="B53" s="7" t="s">
        <v>7</v>
      </c>
      <c r="C53" s="5">
        <v>6</v>
      </c>
      <c r="D53" s="12" t="s">
        <v>58</v>
      </c>
      <c r="E53" s="5">
        <v>223</v>
      </c>
      <c r="F53" s="5">
        <v>0.50571713695953102</v>
      </c>
      <c r="G53" s="5">
        <f t="shared" si="2"/>
        <v>0.11277492154197542</v>
      </c>
      <c r="H53" s="5">
        <v>0.8355634847630633</v>
      </c>
      <c r="I53" s="18">
        <v>3.1862664000000001</v>
      </c>
      <c r="J53" s="19">
        <v>0.135303115041427</v>
      </c>
      <c r="K53" s="5">
        <f t="shared" si="0"/>
        <v>7.105374072</v>
      </c>
      <c r="L53" s="5">
        <f t="shared" si="1"/>
        <v>961.37924547618854</v>
      </c>
      <c r="M53" s="18">
        <v>34.500415699999998</v>
      </c>
    </row>
    <row r="54" spans="1:13" x14ac:dyDescent="0.2">
      <c r="A54" s="10" t="s">
        <v>10</v>
      </c>
      <c r="B54" s="8" t="s">
        <v>8</v>
      </c>
      <c r="C54" s="5">
        <v>1</v>
      </c>
      <c r="D54" s="12" t="s">
        <v>59</v>
      </c>
      <c r="E54" s="5">
        <v>58</v>
      </c>
      <c r="F54" s="5">
        <v>0.43720138094540945</v>
      </c>
      <c r="G54" s="5">
        <f>(E54/1000)*F54</f>
        <v>2.5357680094833749E-2</v>
      </c>
      <c r="H54" s="5">
        <v>3.0129639277942932E-2</v>
      </c>
      <c r="I54" s="18">
        <v>3.7500602000000001</v>
      </c>
      <c r="J54" s="19">
        <v>3.7179740002057003E-2</v>
      </c>
      <c r="K54" s="5">
        <f t="shared" si="0"/>
        <v>2.175034916</v>
      </c>
      <c r="L54" s="5">
        <f t="shared" si="1"/>
        <v>80.867232672275904</v>
      </c>
      <c r="M54" s="18">
        <v>27.8267332</v>
      </c>
    </row>
    <row r="55" spans="1:13" x14ac:dyDescent="0.2">
      <c r="A55" s="10" t="s">
        <v>10</v>
      </c>
      <c r="B55" s="8" t="s">
        <v>8</v>
      </c>
      <c r="C55" s="5">
        <v>2</v>
      </c>
      <c r="D55" s="12" t="s">
        <v>60</v>
      </c>
      <c r="E55" s="5">
        <v>135</v>
      </c>
      <c r="F55" s="5">
        <v>0.40587603421882101</v>
      </c>
      <c r="G55" s="5">
        <f t="shared" si="2"/>
        <v>5.4793264619540843E-2</v>
      </c>
      <c r="H55" s="5">
        <v>9.8031548842613295E-2</v>
      </c>
      <c r="I55" s="18">
        <v>3.2376828999999998</v>
      </c>
      <c r="J55" s="19">
        <v>2.3313972504911601E-2</v>
      </c>
      <c r="K55" s="5">
        <f t="shared" si="0"/>
        <v>4.3708719149999995</v>
      </c>
      <c r="L55" s="5">
        <f t="shared" si="1"/>
        <v>101.9023876488003</v>
      </c>
      <c r="M55" s="18">
        <v>28.654158200000001</v>
      </c>
    </row>
    <row r="56" spans="1:13" x14ac:dyDescent="0.2">
      <c r="A56" s="10" t="s">
        <v>10</v>
      </c>
      <c r="B56" s="8" t="s">
        <v>8</v>
      </c>
      <c r="C56" s="5">
        <v>3</v>
      </c>
      <c r="D56" s="12" t="s">
        <v>61</v>
      </c>
      <c r="E56" s="5">
        <v>146</v>
      </c>
      <c r="F56" s="5">
        <v>0.41146907496713597</v>
      </c>
      <c r="G56" s="5">
        <f t="shared" si="2"/>
        <v>6.0074484945201852E-2</v>
      </c>
      <c r="H56" s="5">
        <v>9.7987783853012156E-2</v>
      </c>
      <c r="I56" s="18">
        <v>3.1634395</v>
      </c>
      <c r="J56" s="19">
        <v>2.5699692772024999E-2</v>
      </c>
      <c r="K56" s="5">
        <f t="shared" si="0"/>
        <v>4.6186216699999996</v>
      </c>
      <c r="L56" s="5">
        <f t="shared" si="1"/>
        <v>118.69715794921703</v>
      </c>
      <c r="M56" s="18">
        <v>29.083564899999999</v>
      </c>
    </row>
    <row r="57" spans="1:13" x14ac:dyDescent="0.2">
      <c r="A57" s="10" t="s">
        <v>10</v>
      </c>
      <c r="B57" s="8" t="s">
        <v>8</v>
      </c>
      <c r="C57" s="5">
        <v>4</v>
      </c>
      <c r="D57" s="12" t="s">
        <v>62</v>
      </c>
      <c r="E57" s="5">
        <v>27</v>
      </c>
      <c r="F57" s="5">
        <v>0.64178590549568204</v>
      </c>
      <c r="G57" s="5">
        <f t="shared" si="2"/>
        <v>1.7328219448383416E-2</v>
      </c>
      <c r="H57" s="5">
        <v>2.1011034440830471E-2</v>
      </c>
      <c r="I57" s="18">
        <v>5.4672980999999998</v>
      </c>
      <c r="J57" s="19">
        <v>5.9176643863483001E-2</v>
      </c>
      <c r="K57" s="5">
        <f t="shared" si="0"/>
        <v>1.4761704870000001</v>
      </c>
      <c r="L57" s="5">
        <f t="shared" si="1"/>
        <v>87.354815190983274</v>
      </c>
      <c r="M57" s="18">
        <v>28.784906899999999</v>
      </c>
    </row>
    <row r="58" spans="1:13" x14ac:dyDescent="0.2">
      <c r="A58" s="10" t="s">
        <v>10</v>
      </c>
      <c r="B58" s="8" t="s">
        <v>8</v>
      </c>
      <c r="C58" s="5">
        <v>6</v>
      </c>
      <c r="D58" s="12" t="s">
        <v>63</v>
      </c>
      <c r="E58" s="5">
        <v>23</v>
      </c>
      <c r="F58" s="5">
        <v>0.53523526813900568</v>
      </c>
      <c r="G58" s="5">
        <f t="shared" si="2"/>
        <v>1.231041116719713E-2</v>
      </c>
      <c r="H58" s="5">
        <v>1.510931259196973E-2</v>
      </c>
      <c r="I58" s="18">
        <v>4.2855752999999996</v>
      </c>
      <c r="J58" s="19">
        <v>8.7617356825457002E-2</v>
      </c>
      <c r="K58" s="5">
        <f t="shared" si="0"/>
        <v>0.98568231899999992</v>
      </c>
      <c r="L58" s="5">
        <f t="shared" si="1"/>
        <v>86.362879460366912</v>
      </c>
      <c r="M58" s="18">
        <v>27.062988499999999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CourtyPE</dc:creator>
  <cp:lastModifiedBy>Microsoft Office User</cp:lastModifiedBy>
  <cp:lastPrinted>2024-08-20T11:01:48Z</cp:lastPrinted>
  <dcterms:created xsi:type="dcterms:W3CDTF">2024-08-01T21:45:04Z</dcterms:created>
  <dcterms:modified xsi:type="dcterms:W3CDTF">2025-08-22T11:46:34Z</dcterms:modified>
</cp:coreProperties>
</file>