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almario/Documents/Labo/MS/4_Pauline_xp/V5_Rev_Microbiome_2026/Edited_scripts/"/>
    </mc:Choice>
  </mc:AlternateContent>
  <xr:revisionPtr revIDLastSave="0" documentId="13_ncr:1_{98C4643D-6138-884D-A10E-77BD287EF4B3}" xr6:coauthVersionLast="47" xr6:coauthVersionMax="47" xr10:uidLastSave="{00000000-0000-0000-0000-000000000000}"/>
  <bookViews>
    <workbookView xWindow="0" yWindow="500" windowWidth="27980" windowHeight="16380" xr2:uid="{CC5F9A30-BE83-9042-A579-91E350B344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</calcChain>
</file>

<file path=xl/sharedStrings.xml><?xml version="1.0" encoding="utf-8"?>
<sst xmlns="http://schemas.openxmlformats.org/spreadsheetml/2006/main" count="116" uniqueCount="45">
  <si>
    <t>Sample type</t>
  </si>
  <si>
    <t>Species</t>
  </si>
  <si>
    <t>Inoculation</t>
  </si>
  <si>
    <t>Replicat</t>
  </si>
  <si>
    <t>%N</t>
  </si>
  <si>
    <t>%C</t>
  </si>
  <si>
    <t>d15N</t>
  </si>
  <si>
    <t>d13C</t>
  </si>
  <si>
    <t>A% 15N</t>
  </si>
  <si>
    <t>A% 13C</t>
  </si>
  <si>
    <t>Shoot</t>
  </si>
  <si>
    <t>A. alpina</t>
  </si>
  <si>
    <t>NI</t>
  </si>
  <si>
    <t>strain 1-39</t>
  </si>
  <si>
    <t>strain 1-40</t>
  </si>
  <si>
    <t>AMF</t>
  </si>
  <si>
    <t>AMF_plante_nurse</t>
  </si>
  <si>
    <t xml:space="preserve"> Dry weight g without craft</t>
  </si>
  <si>
    <t>Plaque position N</t>
  </si>
  <si>
    <t>Weight for N (mg)</t>
  </si>
  <si>
    <t>Plaque</t>
  </si>
  <si>
    <t>Plaque 1</t>
  </si>
  <si>
    <t>Plaque 2</t>
  </si>
  <si>
    <t>A11</t>
  </si>
  <si>
    <t>A12</t>
  </si>
  <si>
    <t>B1</t>
  </si>
  <si>
    <t>B2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</si>
  <si>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</si>
  <si>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</si>
  <si>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</si>
  <si>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</si>
  <si>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</si>
  <si>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</si>
  <si>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</si>
  <si>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</si>
  <si>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</si>
  <si>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</si>
  <si>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D1</t>
  </si>
  <si>
    <t>D2</t>
  </si>
  <si>
    <t>D3</t>
  </si>
  <si>
    <t>C10</t>
  </si>
  <si>
    <t>C11</t>
  </si>
  <si>
    <t>C12</t>
  </si>
  <si>
    <t>Quantité de N totale (mg de N)</t>
  </si>
  <si>
    <t>Quantité de 15N totale (mg de 15N)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</si>
</sst>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2" fontId="4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  <xf numFmtId="2" fontId="4" fillId="4" borderId="1" xfId="1" applyNumberFormat="1" applyFont="1" applyFill="1" applyBorder="1" applyAlignment="1">
      <alignment horizontal="center"/>
    </xf>
    <xf numFmtId="1" fontId="4" fillId="4" borderId="1" xfId="1" applyNumberFormat="1" applyFont="1" applyFill="1" applyBorder="1" applyAlignment="1">
      <alignment horizontal="center"/>
    </xf>
    <xf numFmtId="2" fontId="4" fillId="5" borderId="1" xfId="1" applyNumberFormat="1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1" fontId="4" fillId="6" borderId="1" xfId="1" applyNumberFormat="1" applyFont="1" applyFill="1" applyBorder="1" applyAlignment="1">
      <alignment horizontal="center"/>
    </xf>
    <xf numFmtId="10" fontId="4" fillId="3" borderId="1" xfId="1" applyNumberFormat="1" applyFont="1" applyFill="1" applyBorder="1" applyAlignment="1">
      <alignment horizontal="center"/>
    </xf>
    <xf numFmtId="10" fontId="4" fillId="6" borderId="1" xfId="1" applyNumberFormat="1" applyFont="1" applyFill="1" applyBorder="1" applyAlignment="1">
      <alignment horizontal="center"/>
    </xf>
    <xf numFmtId="0" fontId="1" fillId="0" borderId="0" xfId="0" applyFont="1"/>
    <xf numFmtId="2" fontId="4" fillId="8" borderId="1" xfId="1" applyNumberFormat="1" applyFont="1" applyFill="1" applyBorder="1" applyAlignment="1">
      <alignment horizontal="center"/>
    </xf>
    <xf numFmtId="1" fontId="4" fillId="8" borderId="1" xfId="1" applyNumberFormat="1" applyFont="1" applyFill="1" applyBorder="1" applyAlignment="1">
      <alignment horizontal="center"/>
    </xf>
    <xf numFmtId="10" fontId="4" fillId="8" borderId="1" xfId="1" applyNumberFormat="1" applyFont="1" applyFill="1" applyBorder="1" applyAlignment="1">
      <alignment horizontal="center"/>
    </xf>
    <xf numFmtId="10" fontId="4" fillId="5" borderId="1" xfId="1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10" fontId="5" fillId="6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2" fontId="4" fillId="7" borderId="1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0" fontId="4" fillId="4" borderId="1" xfId="1" applyNumberFormat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</cellXfs>
  <cellStyles count="2">
    <cellStyle name="Normal" xfId="0" builtinId="0"/>
    <cellStyle name="Normal 2" xfId="1" xr:uid="{6ADD160F-3ECA-B340-BA56-7913B8036921}"/>
  </cellStyles>
  <dxfs count="0"/>
  <tableStyles count="0" defaultTableStyle="TableStyleMedium2" defaultPivotStyle="PivotStyleLight16"/>
  <colors>
    <mruColors>
      <color rgb="FFF19AFF"/>
      <color rgb="FFB51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63C3-36B4-3B4E-AEC2-1F29B22490DF}">
  <dimension ref="A1:P21"/>
  <sheetViews>
    <sheetView tabSelected="1" workbookViewId="0">
      <selection activeCell="A22" sqref="A22:XFD77"/>
    </sheetView>
  </sheetViews>
  <sheetFormatPr baseColWidth="10" defaultRowHeight="16" x14ac:dyDescent="0.2"/>
  <cols>
    <col min="1" max="1" width="10.83203125" style="11"/>
    <col min="2" max="2" width="21.33203125" style="11" customWidth="1"/>
    <col min="3" max="3" width="19.1640625" style="11" customWidth="1"/>
    <col min="4" max="10" width="10.83203125" style="11"/>
  </cols>
  <sheetData>
    <row r="1" spans="1:16" ht="68" x14ac:dyDescent="0.2">
      <c r="A1" s="25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32" t="s">
        <v>17</v>
      </c>
      <c r="L1" s="32" t="s">
        <v>18</v>
      </c>
      <c r="M1" s="32" t="s">
        <v>19</v>
      </c>
      <c r="N1" s="32" t="s">
        <v>20</v>
      </c>
      <c r="O1" s="34" t="s">
        <v>43</v>
      </c>
      <c r="P1" s="34" t="s">
        <v>44</v>
      </c>
    </row>
    <row r="2" spans="1:16" x14ac:dyDescent="0.2">
      <c r="A2" s="18" t="s">
        <v>10</v>
      </c>
      <c r="B2" s="19" t="s">
        <v>11</v>
      </c>
      <c r="C2" s="3" t="s">
        <v>15</v>
      </c>
      <c r="D2" s="4">
        <v>1</v>
      </c>
      <c r="E2" s="3">
        <v>0.66199509999999995</v>
      </c>
      <c r="F2" s="3">
        <v>30.467014599999999</v>
      </c>
      <c r="G2" s="4">
        <v>182.90833887981</v>
      </c>
      <c r="H2" s="3">
        <v>-29.705040183163554</v>
      </c>
      <c r="I2" s="24">
        <v>4.2804960018784002E-3</v>
      </c>
      <c r="J2" s="23">
        <v>1.0785796682838604E-2</v>
      </c>
      <c r="K2" s="33">
        <v>1.3519999999999994</v>
      </c>
      <c r="L2" s="33" t="s">
        <v>37</v>
      </c>
      <c r="M2" s="33">
        <v>1.8</v>
      </c>
      <c r="N2" s="33" t="s">
        <v>22</v>
      </c>
      <c r="O2">
        <f t="shared" ref="O2:O21" si="0">K2*1000*E2/100</f>
        <v>8.9501737519999942</v>
      </c>
      <c r="P2">
        <f t="shared" ref="P2:P21" si="1">E2/100*I2*K2*1000</f>
        <v>3.8311182961552975E-2</v>
      </c>
    </row>
    <row r="3" spans="1:16" x14ac:dyDescent="0.2">
      <c r="A3" s="18" t="s">
        <v>10</v>
      </c>
      <c r="B3" s="19" t="s">
        <v>11</v>
      </c>
      <c r="C3" s="3" t="s">
        <v>15</v>
      </c>
      <c r="D3" s="4">
        <v>2</v>
      </c>
      <c r="E3" s="3">
        <v>0.68361780000000005</v>
      </c>
      <c r="F3" s="3">
        <v>38.758850700000004</v>
      </c>
      <c r="G3" s="4">
        <v>78.533152681779995</v>
      </c>
      <c r="H3" s="3">
        <v>-28.946749704034325</v>
      </c>
      <c r="I3" s="24">
        <v>4.0290021730876998E-3</v>
      </c>
      <c r="J3" s="23">
        <v>1.079413485273153E-2</v>
      </c>
      <c r="K3" s="33">
        <v>1.8019999999999996</v>
      </c>
      <c r="L3" s="33" t="s">
        <v>38</v>
      </c>
      <c r="M3" s="33">
        <v>2.2000000000000002</v>
      </c>
      <c r="N3" s="33" t="s">
        <v>22</v>
      </c>
      <c r="O3">
        <f t="shared" si="0"/>
        <v>12.318792755999999</v>
      </c>
      <c r="P3">
        <f t="shared" si="1"/>
        <v>4.9632442783741008E-2</v>
      </c>
    </row>
    <row r="4" spans="1:16" x14ac:dyDescent="0.2">
      <c r="A4" s="18" t="s">
        <v>10</v>
      </c>
      <c r="B4" s="19" t="s">
        <v>11</v>
      </c>
      <c r="C4" s="3" t="s">
        <v>15</v>
      </c>
      <c r="D4" s="4">
        <v>3</v>
      </c>
      <c r="E4" s="3">
        <v>1.1292361</v>
      </c>
      <c r="F4" s="3">
        <v>37.886206100000003</v>
      </c>
      <c r="G4" s="4">
        <v>179.81645664715001</v>
      </c>
      <c r="H4" s="3">
        <v>-29.626439662790105</v>
      </c>
      <c r="I4" s="24">
        <v>4.2634337029424001E-3</v>
      </c>
      <c r="J4" s="23">
        <v>1.0786660981497618E-2</v>
      </c>
      <c r="K4" s="33">
        <v>1.3719999999999999</v>
      </c>
      <c r="L4" s="33" t="s">
        <v>39</v>
      </c>
      <c r="M4" s="33">
        <v>2.1</v>
      </c>
      <c r="N4" s="33" t="s">
        <v>22</v>
      </c>
      <c r="O4">
        <f t="shared" si="0"/>
        <v>15.493119291999999</v>
      </c>
      <c r="P4">
        <f t="shared" si="1"/>
        <v>6.6053886953219884E-2</v>
      </c>
    </row>
    <row r="5" spans="1:16" x14ac:dyDescent="0.2">
      <c r="A5" s="18" t="s">
        <v>10</v>
      </c>
      <c r="B5" s="19" t="s">
        <v>11</v>
      </c>
      <c r="C5" s="3" t="s">
        <v>15</v>
      </c>
      <c r="D5" s="4">
        <v>4</v>
      </c>
      <c r="E5" s="3">
        <v>1.1827616000000001</v>
      </c>
      <c r="F5" s="3">
        <v>40.912927799999999</v>
      </c>
      <c r="G5" s="4">
        <v>109.3771103701</v>
      </c>
      <c r="H5" s="3">
        <v>-30.603798390073766</v>
      </c>
      <c r="I5" s="23">
        <v>4.1225631110417002E-3</v>
      </c>
      <c r="J5" s="23">
        <v>1.0775913746329314E-2</v>
      </c>
      <c r="K5" s="33">
        <v>1.1819999999999995</v>
      </c>
      <c r="L5" s="33" t="s">
        <v>36</v>
      </c>
      <c r="M5" s="33">
        <v>2.1</v>
      </c>
      <c r="N5" s="33" t="s">
        <v>21</v>
      </c>
      <c r="O5">
        <f t="shared" si="0"/>
        <v>13.980242111999996</v>
      </c>
      <c r="P5">
        <f t="shared" si="1"/>
        <v>5.7634430414362885E-2</v>
      </c>
    </row>
    <row r="6" spans="1:16" x14ac:dyDescent="0.2">
      <c r="A6" s="18" t="s">
        <v>10</v>
      </c>
      <c r="B6" s="19" t="s">
        <v>11</v>
      </c>
      <c r="C6" s="12" t="s">
        <v>16</v>
      </c>
      <c r="D6" s="13">
        <v>1</v>
      </c>
      <c r="E6" s="12">
        <v>1.276359</v>
      </c>
      <c r="F6" s="12">
        <v>38.955099099999998</v>
      </c>
      <c r="G6" s="13">
        <v>310.99720513739999</v>
      </c>
      <c r="H6" s="12">
        <v>-32.602131732665462</v>
      </c>
      <c r="I6" s="14">
        <v>4.1287156063129996E-3</v>
      </c>
      <c r="J6" s="14">
        <v>1.0753938939947744E-2</v>
      </c>
      <c r="K6" s="33">
        <v>1.1219999999999999</v>
      </c>
      <c r="L6" s="33" t="s">
        <v>23</v>
      </c>
      <c r="M6" s="33">
        <v>2.1</v>
      </c>
      <c r="N6" s="33" t="s">
        <v>21</v>
      </c>
      <c r="O6">
        <f t="shared" si="0"/>
        <v>14.32074798</v>
      </c>
      <c r="P6">
        <f t="shared" si="1"/>
        <v>5.9126295679101354E-2</v>
      </c>
    </row>
    <row r="7" spans="1:16" x14ac:dyDescent="0.2">
      <c r="A7" s="18" t="s">
        <v>10</v>
      </c>
      <c r="B7" s="19" t="s">
        <v>11</v>
      </c>
      <c r="C7" s="12" t="s">
        <v>16</v>
      </c>
      <c r="D7" s="13">
        <v>2</v>
      </c>
      <c r="E7" s="12">
        <v>1.3635900000000001</v>
      </c>
      <c r="F7" s="12">
        <v>39.1135357</v>
      </c>
      <c r="G7" s="13">
        <v>315.30856258115</v>
      </c>
      <c r="H7" s="12">
        <v>-31.35500430232463</v>
      </c>
      <c r="I7" s="14">
        <v>4.0292834639356996E-3</v>
      </c>
      <c r="J7" s="14">
        <v>1.0767653174745801E-2</v>
      </c>
      <c r="K7" s="33">
        <v>1.1319999999999997</v>
      </c>
      <c r="L7" s="33" t="s">
        <v>24</v>
      </c>
      <c r="M7" s="33">
        <v>1.9</v>
      </c>
      <c r="N7" s="33" t="s">
        <v>21</v>
      </c>
      <c r="O7">
        <f t="shared" si="0"/>
        <v>15.435838799999997</v>
      </c>
      <c r="P7">
        <f t="shared" si="1"/>
        <v>6.219537002881706E-2</v>
      </c>
    </row>
    <row r="8" spans="1:16" x14ac:dyDescent="0.2">
      <c r="A8" s="18" t="s">
        <v>10</v>
      </c>
      <c r="B8" s="19" t="s">
        <v>11</v>
      </c>
      <c r="C8" s="12" t="s">
        <v>16</v>
      </c>
      <c r="D8" s="13">
        <v>3</v>
      </c>
      <c r="E8" s="12">
        <v>1.3189998999999999</v>
      </c>
      <c r="F8" s="12">
        <v>39.865422899999999</v>
      </c>
      <c r="G8" s="13">
        <v>308.0238584343</v>
      </c>
      <c r="H8" s="12">
        <v>-31.975312627982476</v>
      </c>
      <c r="I8" s="14">
        <v>4.8591953185633998E-3</v>
      </c>
      <c r="J8" s="14">
        <v>1.0760831903284656E-2</v>
      </c>
      <c r="K8" s="33">
        <v>0.78200000000000003</v>
      </c>
      <c r="L8" s="33" t="s">
        <v>25</v>
      </c>
      <c r="M8" s="33">
        <v>2.1</v>
      </c>
      <c r="N8" s="33" t="s">
        <v>21</v>
      </c>
      <c r="O8">
        <f t="shared" si="0"/>
        <v>10.314579217999999</v>
      </c>
      <c r="P8">
        <f t="shared" si="1"/>
        <v>5.0120555049056936E-2</v>
      </c>
    </row>
    <row r="9" spans="1:16" x14ac:dyDescent="0.2">
      <c r="A9" s="18" t="s">
        <v>10</v>
      </c>
      <c r="B9" s="19" t="s">
        <v>11</v>
      </c>
      <c r="C9" s="12" t="s">
        <v>16</v>
      </c>
      <c r="D9" s="13">
        <v>4</v>
      </c>
      <c r="E9" s="12">
        <v>1.2957392999999999</v>
      </c>
      <c r="F9" s="12">
        <v>34.8720924</v>
      </c>
      <c r="G9" s="13">
        <v>364.85527874462002</v>
      </c>
      <c r="H9" s="12">
        <v>-30.661237577017552</v>
      </c>
      <c r="I9" s="14">
        <v>4.6830450021251996E-3</v>
      </c>
      <c r="J9" s="14">
        <v>1.077528212609241E-2</v>
      </c>
      <c r="K9" s="33">
        <v>1.4219999999999997</v>
      </c>
      <c r="L9" s="33" t="s">
        <v>26</v>
      </c>
      <c r="M9" s="33">
        <v>1.9</v>
      </c>
      <c r="N9" s="33" t="s">
        <v>21</v>
      </c>
      <c r="O9">
        <f t="shared" si="0"/>
        <v>18.425412845999997</v>
      </c>
      <c r="P9">
        <f t="shared" si="1"/>
        <v>8.6287037540553724E-2</v>
      </c>
    </row>
    <row r="10" spans="1:16" x14ac:dyDescent="0.2">
      <c r="A10" s="18" t="s">
        <v>10</v>
      </c>
      <c r="B10" s="19" t="s">
        <v>11</v>
      </c>
      <c r="C10" s="1" t="s">
        <v>12</v>
      </c>
      <c r="D10" s="2">
        <v>1</v>
      </c>
      <c r="E10" s="1">
        <v>0.68062140000000004</v>
      </c>
      <c r="F10" s="1">
        <v>31.263982200000001</v>
      </c>
      <c r="G10" s="2">
        <v>70.965266676222001</v>
      </c>
      <c r="H10" s="1">
        <v>-29.484509044952478</v>
      </c>
      <c r="I10" s="16">
        <v>4.104313985920067E-3</v>
      </c>
      <c r="J10" s="9">
        <v>1.0788221659994031E-2</v>
      </c>
      <c r="K10" s="33">
        <v>1.1919999999999993</v>
      </c>
      <c r="L10" s="33" t="s">
        <v>40</v>
      </c>
      <c r="M10" s="33">
        <v>2</v>
      </c>
      <c r="N10" s="33" t="s">
        <v>22</v>
      </c>
      <c r="O10">
        <f t="shared" si="0"/>
        <v>8.1130070879999963</v>
      </c>
      <c r="P10">
        <f t="shared" si="1"/>
        <v>3.3298328459147021E-2</v>
      </c>
    </row>
    <row r="11" spans="1:16" x14ac:dyDescent="0.2">
      <c r="A11" s="18" t="s">
        <v>10</v>
      </c>
      <c r="B11" s="19" t="s">
        <v>11</v>
      </c>
      <c r="C11" s="1" t="s">
        <v>12</v>
      </c>
      <c r="D11" s="2">
        <v>2</v>
      </c>
      <c r="E11" s="1">
        <v>0.73083929999999997</v>
      </c>
      <c r="F11" s="1">
        <v>38.444695199999998</v>
      </c>
      <c r="G11" s="2">
        <v>95.045575909407759</v>
      </c>
      <c r="H11" s="1">
        <v>-28.744205812440416</v>
      </c>
      <c r="I11" s="16">
        <v>4.0097918980459687E-3</v>
      </c>
      <c r="J11" s="9">
        <v>1.0796362003655378E-2</v>
      </c>
      <c r="K11" s="33">
        <v>2.0119999999999996</v>
      </c>
      <c r="L11" s="33" t="s">
        <v>41</v>
      </c>
      <c r="M11" s="33">
        <v>1.8</v>
      </c>
      <c r="N11" s="33" t="s">
        <v>22</v>
      </c>
      <c r="O11">
        <f t="shared" si="0"/>
        <v>14.704486715999996</v>
      </c>
      <c r="P11">
        <f t="shared" si="1"/>
        <v>5.8961931698741359E-2</v>
      </c>
    </row>
    <row r="12" spans="1:16" x14ac:dyDescent="0.2">
      <c r="A12" s="27" t="s">
        <v>10</v>
      </c>
      <c r="B12" s="28" t="s">
        <v>11</v>
      </c>
      <c r="C12" s="20" t="s">
        <v>12</v>
      </c>
      <c r="D12" s="21">
        <v>3</v>
      </c>
      <c r="E12" s="22">
        <v>0.63028960000000001</v>
      </c>
      <c r="F12" s="22">
        <v>33.932808999999999</v>
      </c>
      <c r="G12" s="21">
        <v>68.877219584154005</v>
      </c>
      <c r="H12" s="22">
        <v>-31.891719300690792</v>
      </c>
      <c r="I12" s="9">
        <v>4.0696235417150596E-3</v>
      </c>
      <c r="J12" s="9">
        <v>1.0761751149659811E-2</v>
      </c>
      <c r="K12" s="33">
        <v>1.8119999999999994</v>
      </c>
      <c r="L12" s="33" t="s">
        <v>27</v>
      </c>
      <c r="M12" s="33">
        <v>2.2000000000000002</v>
      </c>
      <c r="N12" s="33" t="s">
        <v>21</v>
      </c>
      <c r="O12">
        <f t="shared" si="0"/>
        <v>11.420847551999996</v>
      </c>
      <c r="P12">
        <f t="shared" si="1"/>
        <v>4.6478550063957992E-2</v>
      </c>
    </row>
    <row r="13" spans="1:16" x14ac:dyDescent="0.2">
      <c r="A13" s="27" t="s">
        <v>10</v>
      </c>
      <c r="B13" s="28" t="s">
        <v>11</v>
      </c>
      <c r="C13" s="20" t="s">
        <v>12</v>
      </c>
      <c r="D13" s="21">
        <v>4</v>
      </c>
      <c r="E13" s="22">
        <v>0.74247759999999996</v>
      </c>
      <c r="F13" s="22">
        <v>39.394346800000001</v>
      </c>
      <c r="G13" s="21">
        <v>98.366694909916447</v>
      </c>
      <c r="H13" s="22">
        <v>-30.534677866340342</v>
      </c>
      <c r="I13" s="9">
        <v>4.0219041212000897E-3</v>
      </c>
      <c r="J13" s="9">
        <v>1.0776673817327494E-2</v>
      </c>
      <c r="K13" s="33">
        <v>0.82200000000000006</v>
      </c>
      <c r="L13" s="33" t="s">
        <v>28</v>
      </c>
      <c r="M13" s="33">
        <v>2.2000000000000002</v>
      </c>
      <c r="N13" s="33" t="s">
        <v>21</v>
      </c>
      <c r="O13">
        <f t="shared" si="0"/>
        <v>6.1031658720000008</v>
      </c>
      <c r="P13">
        <f t="shared" si="1"/>
        <v>2.4546347972964538E-2</v>
      </c>
    </row>
    <row r="14" spans="1:16" x14ac:dyDescent="0.2">
      <c r="A14" s="27" t="s">
        <v>10</v>
      </c>
      <c r="B14" s="28" t="s">
        <v>11</v>
      </c>
      <c r="C14" s="29" t="s">
        <v>13</v>
      </c>
      <c r="D14" s="30">
        <v>1</v>
      </c>
      <c r="E14" s="31">
        <v>1.2628934999999999</v>
      </c>
      <c r="F14" s="31">
        <v>37.325565599999997</v>
      </c>
      <c r="G14" s="30">
        <v>1121.8186356681999</v>
      </c>
      <c r="H14" s="31">
        <v>-29.671250231813939</v>
      </c>
      <c r="I14" s="15">
        <v>9.024479425398E-3</v>
      </c>
      <c r="J14" s="15">
        <v>1.0786168240482856E-2</v>
      </c>
      <c r="K14" s="33">
        <v>1.4719999999999995</v>
      </c>
      <c r="L14" s="33" t="s">
        <v>29</v>
      </c>
      <c r="M14" s="33">
        <v>2</v>
      </c>
      <c r="N14" s="33" t="s">
        <v>21</v>
      </c>
      <c r="O14">
        <f t="shared" si="0"/>
        <v>18.589792319999994</v>
      </c>
      <c r="P14">
        <f t="shared" si="1"/>
        <v>0.16776319831426167</v>
      </c>
    </row>
    <row r="15" spans="1:16" x14ac:dyDescent="0.2">
      <c r="A15" s="27" t="s">
        <v>10</v>
      </c>
      <c r="B15" s="28" t="s">
        <v>11</v>
      </c>
      <c r="C15" s="29" t="s">
        <v>13</v>
      </c>
      <c r="D15" s="30">
        <v>2</v>
      </c>
      <c r="E15" s="31">
        <v>1.5269915000000001</v>
      </c>
      <c r="F15" s="31">
        <v>38.5356697</v>
      </c>
      <c r="G15" s="30">
        <v>1395.9129000534001</v>
      </c>
      <c r="H15" s="31">
        <v>-29.891974364107952</v>
      </c>
      <c r="I15" s="15">
        <v>9.5949150486038005E-3</v>
      </c>
      <c r="J15" s="15">
        <v>1.0783741131068182E-2</v>
      </c>
      <c r="K15" s="33">
        <v>1.4619999999999997</v>
      </c>
      <c r="L15" s="33" t="s">
        <v>30</v>
      </c>
      <c r="M15" s="33">
        <v>2</v>
      </c>
      <c r="N15" s="33" t="s">
        <v>21</v>
      </c>
      <c r="O15">
        <f t="shared" si="0"/>
        <v>22.324615729999994</v>
      </c>
      <c r="P15">
        <f t="shared" si="1"/>
        <v>0.21420279142207407</v>
      </c>
    </row>
    <row r="16" spans="1:16" x14ac:dyDescent="0.2">
      <c r="A16" s="18" t="s">
        <v>10</v>
      </c>
      <c r="B16" s="19" t="s">
        <v>11</v>
      </c>
      <c r="C16" s="5" t="s">
        <v>13</v>
      </c>
      <c r="D16" s="6">
        <v>3</v>
      </c>
      <c r="E16" s="5">
        <v>1.4556435000000001</v>
      </c>
      <c r="F16" s="5">
        <v>41.485296300000002</v>
      </c>
      <c r="G16" s="6">
        <v>1642.06456173182</v>
      </c>
      <c r="H16" s="5">
        <v>-29.447219163035832</v>
      </c>
      <c r="I16" s="15">
        <v>9.6131259394488001E-3</v>
      </c>
      <c r="J16" s="15">
        <v>1.0788631701194347E-2</v>
      </c>
      <c r="K16" s="33">
        <v>1.9819999999999993</v>
      </c>
      <c r="L16" s="33" t="s">
        <v>31</v>
      </c>
      <c r="M16" s="33">
        <v>2.2000000000000002</v>
      </c>
      <c r="N16" s="33" t="s">
        <v>21</v>
      </c>
      <c r="O16">
        <f t="shared" si="0"/>
        <v>28.850854169999995</v>
      </c>
      <c r="P16">
        <f t="shared" si="1"/>
        <v>0.27734689459688155</v>
      </c>
    </row>
    <row r="17" spans="1:16" x14ac:dyDescent="0.2">
      <c r="A17" s="18" t="s">
        <v>10</v>
      </c>
      <c r="B17" s="19" t="s">
        <v>11</v>
      </c>
      <c r="C17" s="5" t="s">
        <v>13</v>
      </c>
      <c r="D17" s="6">
        <v>4</v>
      </c>
      <c r="E17" s="5">
        <v>1.4748581999999999</v>
      </c>
      <c r="F17" s="5">
        <v>41.818580099999998</v>
      </c>
      <c r="G17" s="6">
        <v>1478.6910965695599</v>
      </c>
      <c r="H17" s="5">
        <v>-29.230285715728719</v>
      </c>
      <c r="I17" s="15">
        <v>9.4748914655681995E-3</v>
      </c>
      <c r="J17" s="15">
        <v>1.0791017104289738E-2</v>
      </c>
      <c r="K17" s="33">
        <v>1.7319999999999993</v>
      </c>
      <c r="L17" s="33" t="s">
        <v>32</v>
      </c>
      <c r="M17" s="33">
        <v>2.2000000000000002</v>
      </c>
      <c r="N17" s="33" t="s">
        <v>21</v>
      </c>
      <c r="O17">
        <f t="shared" si="0"/>
        <v>25.54454402399999</v>
      </c>
      <c r="P17">
        <f t="shared" si="1"/>
        <v>0.24203178216482865</v>
      </c>
    </row>
    <row r="18" spans="1:16" x14ac:dyDescent="0.2">
      <c r="A18" s="18" t="s">
        <v>10</v>
      </c>
      <c r="B18" s="19" t="s">
        <v>11</v>
      </c>
      <c r="C18" s="7" t="s">
        <v>14</v>
      </c>
      <c r="D18" s="8">
        <v>1</v>
      </c>
      <c r="E18" s="7">
        <v>1.3407203999999999</v>
      </c>
      <c r="F18" s="7">
        <v>36.977543699999998</v>
      </c>
      <c r="G18" s="8">
        <v>1497.25766868961</v>
      </c>
      <c r="H18" s="7">
        <v>-29.47985609400472</v>
      </c>
      <c r="I18" s="17">
        <v>9.3242919462526996E-3</v>
      </c>
      <c r="J18" s="10">
        <v>1.0788272824068192E-2</v>
      </c>
      <c r="K18" s="33">
        <v>1.5519999999999996</v>
      </c>
      <c r="L18" s="33" t="s">
        <v>42</v>
      </c>
      <c r="M18" s="33">
        <v>1.9</v>
      </c>
      <c r="N18" s="33" t="s">
        <v>22</v>
      </c>
      <c r="O18">
        <f t="shared" si="0"/>
        <v>20.807980607999994</v>
      </c>
      <c r="P18">
        <f t="shared" si="1"/>
        <v>0.19401968600095668</v>
      </c>
    </row>
    <row r="19" spans="1:16" x14ac:dyDescent="0.2">
      <c r="A19" s="18" t="s">
        <v>10</v>
      </c>
      <c r="B19" s="19" t="s">
        <v>11</v>
      </c>
      <c r="C19" s="7" t="s">
        <v>14</v>
      </c>
      <c r="D19" s="8">
        <v>2</v>
      </c>
      <c r="E19" s="7">
        <v>1.3531295999999999</v>
      </c>
      <c r="F19" s="7">
        <v>38.508497499999997</v>
      </c>
      <c r="G19" s="8">
        <v>1169.26836217599</v>
      </c>
      <c r="H19" s="7">
        <v>-29.349089589759348</v>
      </c>
      <c r="I19" s="10">
        <v>9.0398807544000998E-3</v>
      </c>
      <c r="J19" s="10">
        <v>1.078971073672288E-2</v>
      </c>
      <c r="K19" s="33">
        <v>1.5919999999999996</v>
      </c>
      <c r="L19" s="33" t="s">
        <v>33</v>
      </c>
      <c r="M19" s="33">
        <v>2.2000000000000002</v>
      </c>
      <c r="N19" s="33" t="s">
        <v>21</v>
      </c>
      <c r="O19">
        <f t="shared" si="0"/>
        <v>21.541823231999992</v>
      </c>
      <c r="P19">
        <f t="shared" si="1"/>
        <v>0.19473551324964572</v>
      </c>
    </row>
    <row r="20" spans="1:16" x14ac:dyDescent="0.2">
      <c r="A20" s="18" t="s">
        <v>10</v>
      </c>
      <c r="B20" s="19" t="s">
        <v>11</v>
      </c>
      <c r="C20" s="7" t="s">
        <v>14</v>
      </c>
      <c r="D20" s="8">
        <v>3</v>
      </c>
      <c r="E20" s="7">
        <v>1.5624564000000001</v>
      </c>
      <c r="F20" s="7">
        <v>40.628029900000001</v>
      </c>
      <c r="G20" s="8">
        <v>1359.7720388782</v>
      </c>
      <c r="H20" s="7">
        <v>-30.366190642012402</v>
      </c>
      <c r="I20" s="10">
        <v>9.1767201691367005E-3</v>
      </c>
      <c r="J20" s="10">
        <v>1.0778526550895071E-2</v>
      </c>
      <c r="K20" s="33">
        <v>1.4219999999999997</v>
      </c>
      <c r="L20" s="33" t="s">
        <v>34</v>
      </c>
      <c r="M20" s="33">
        <v>1.8</v>
      </c>
      <c r="N20" s="33" t="s">
        <v>21</v>
      </c>
      <c r="O20">
        <f t="shared" si="0"/>
        <v>22.218130007999999</v>
      </c>
      <c r="P20">
        <f t="shared" si="1"/>
        <v>0.20388956176491493</v>
      </c>
    </row>
    <row r="21" spans="1:16" x14ac:dyDescent="0.2">
      <c r="A21" s="18" t="s">
        <v>10</v>
      </c>
      <c r="B21" s="19" t="s">
        <v>11</v>
      </c>
      <c r="C21" s="7" t="s">
        <v>14</v>
      </c>
      <c r="D21" s="8">
        <v>4</v>
      </c>
      <c r="E21" s="7">
        <v>1.7790277999999999</v>
      </c>
      <c r="F21" s="7">
        <v>38.096266800000002</v>
      </c>
      <c r="G21" s="8">
        <v>1202.8188180301656</v>
      </c>
      <c r="H21" s="7">
        <v>-29.891458894392265</v>
      </c>
      <c r="I21" s="10">
        <v>9.0336019465577701E-3</v>
      </c>
      <c r="J21" s="10">
        <v>1.0783746799249769E-2</v>
      </c>
      <c r="K21" s="33">
        <v>1.452</v>
      </c>
      <c r="L21" s="33" t="s">
        <v>35</v>
      </c>
      <c r="M21" s="33">
        <v>1.9</v>
      </c>
      <c r="N21" s="33" t="s">
        <v>21</v>
      </c>
      <c r="O21">
        <f t="shared" si="0"/>
        <v>25.831483656</v>
      </c>
      <c r="P21">
        <f t="shared" si="1"/>
        <v>0.23335134103731681</v>
      </c>
    </row>
  </sheetData>
  <sortState xmlns:xlrd2="http://schemas.microsoft.com/office/spreadsheetml/2017/richdata2" ref="A2:J22">
    <sortCondition ref="A2:A22"/>
    <sortCondition ref="B2:B22"/>
    <sortCondition ref="C2:C22"/>
    <sortCondition ref="D2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CourtyPE</dc:creator>
  <cp:lastModifiedBy>Microsoft Office User</cp:lastModifiedBy>
  <dcterms:created xsi:type="dcterms:W3CDTF">2026-04-21T10:20:48Z</dcterms:created>
  <dcterms:modified xsi:type="dcterms:W3CDTF">2026-04-29T14:50:22Z</dcterms:modified>
</cp:coreProperties>
</file>