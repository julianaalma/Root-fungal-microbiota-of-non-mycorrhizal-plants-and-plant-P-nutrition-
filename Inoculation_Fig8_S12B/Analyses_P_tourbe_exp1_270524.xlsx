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ine\Documents\Protocole_P\"/>
    </mc:Choice>
  </mc:AlternateContent>
  <bookViews>
    <workbookView xWindow="0" yWindow="0" windowWidth="28740" windowHeight="12120"/>
  </bookViews>
  <sheets>
    <sheet name="Analyses_P_tourbe_exp1_270524" sheetId="1" r:id="rId1"/>
  </sheets>
  <calcPr calcId="162913"/>
</workbook>
</file>

<file path=xl/calcChain.xml><?xml version="1.0" encoding="utf-8"?>
<calcChain xmlns="http://schemas.openxmlformats.org/spreadsheetml/2006/main">
  <c r="N58" i="1" l="1"/>
  <c r="Q58" i="1"/>
  <c r="N47" i="1"/>
  <c r="Q47" i="1"/>
  <c r="N35" i="1"/>
  <c r="Q35" i="1"/>
</calcChain>
</file>

<file path=xl/sharedStrings.xml><?xml version="1.0" encoding="utf-8"?>
<sst xmlns="http://schemas.openxmlformats.org/spreadsheetml/2006/main" count="907" uniqueCount="312">
  <si>
    <t>Sample_ID</t>
  </si>
  <si>
    <t>DO_mean</t>
  </si>
  <si>
    <t>Species</t>
  </si>
  <si>
    <t>Inoculation</t>
  </si>
  <si>
    <t>Pot</t>
  </si>
  <si>
    <t>Inoc_Pot</t>
  </si>
  <si>
    <t>Rep</t>
  </si>
  <si>
    <t>Fresh_biomass_g</t>
  </si>
  <si>
    <t>Fresh_biomass_mg</t>
  </si>
  <si>
    <t>Dry_biomass_g</t>
  </si>
  <si>
    <t>Dry_biomass_mg</t>
  </si>
  <si>
    <t>Minuartia verna_Isolate_1-39_1_1</t>
  </si>
  <si>
    <t>Minuartia verna</t>
  </si>
  <si>
    <t>Isolate_1-39</t>
  </si>
  <si>
    <t>Isolate_1-39_1</t>
  </si>
  <si>
    <t>2.2799999999999999E-3</t>
  </si>
  <si>
    <t>Minuartia verna_Isolate_1-39_1_2</t>
  </si>
  <si>
    <t>4.47E-3</t>
  </si>
  <si>
    <t>Minuartia verna_Isolate_1-39_3_1</t>
  </si>
  <si>
    <t>Isolate_1-39_3</t>
  </si>
  <si>
    <t>1.074E-2</t>
  </si>
  <si>
    <t>Minuartia verna_Isolate_1-39_3_2</t>
  </si>
  <si>
    <t>1.6230000000000001E-2</t>
  </si>
  <si>
    <t>Minuartia verna_Isolate_1-40_1_1</t>
  </si>
  <si>
    <t>Isolate_1-40</t>
  </si>
  <si>
    <t>Isolate_1-40_1</t>
  </si>
  <si>
    <t>1.9E-2</t>
  </si>
  <si>
    <t>Minuartia verna_Isolate_1-40_1_2</t>
  </si>
  <si>
    <t>2.1999999999999999E-2</t>
  </si>
  <si>
    <t>Minuartia verna_Isolate_1-40_2_2</t>
  </si>
  <si>
    <t>Isolate_1-40_2</t>
  </si>
  <si>
    <t>1.2999999999999999E-2</t>
  </si>
  <si>
    <t>Minuartia verna_Isolate_1-40_3_2</t>
  </si>
  <si>
    <t>Isolate_1-40_3</t>
  </si>
  <si>
    <t>1.7000000000000001E-2</t>
  </si>
  <si>
    <t>Minuartia verna_Isolate_1-40_5_2</t>
  </si>
  <si>
    <t>Isolate_1-40_5</t>
  </si>
  <si>
    <t>7.0000000000000001E-3</t>
  </si>
  <si>
    <t>Minuartia verna_NI_1_1</t>
  </si>
  <si>
    <t>NI</t>
  </si>
  <si>
    <t>NI_1</t>
  </si>
  <si>
    <t>2.1409999999999998E-2</t>
  </si>
  <si>
    <t>Minuartia verna_NI_1_2</t>
  </si>
  <si>
    <t>2.7380000000000002E-2</t>
  </si>
  <si>
    <t>Minuartia verna_NI_2_1</t>
  </si>
  <si>
    <t>NI_2</t>
  </si>
  <si>
    <t>1.47E-2</t>
  </si>
  <si>
    <t>Minuartia verna_NI_2_2</t>
  </si>
  <si>
    <t>9.2099999999999994E-3</t>
  </si>
  <si>
    <t>Minuartia verna_NI_4_1</t>
  </si>
  <si>
    <t>NI_4</t>
  </si>
  <si>
    <t>1.431E-2</t>
  </si>
  <si>
    <t>Minuartia verna_NI_4_2</t>
  </si>
  <si>
    <t>7.9000000000000008E-3</t>
  </si>
  <si>
    <t>Minuartia verna_NI_6_1</t>
  </si>
  <si>
    <t>NI_6</t>
  </si>
  <si>
    <t>9.1199999999999996E-3</t>
  </si>
  <si>
    <t>Minuartia verna_NI_6_2</t>
  </si>
  <si>
    <t>3.6099999999999999E-3</t>
  </si>
  <si>
    <t>Minuartia verna_Isolate_1-39_1_3</t>
  </si>
  <si>
    <t>3.1780000000000003E-2</t>
  </si>
  <si>
    <t>Minuartia verna_Isolate_1-39_2_1</t>
  </si>
  <si>
    <t>Isolate_1-39_2</t>
  </si>
  <si>
    <t>1.448E-2</t>
  </si>
  <si>
    <t>Minuartia verna_Isolate_1-39_3_3</t>
  </si>
  <si>
    <t>2.2270000000000002E-2</t>
  </si>
  <si>
    <t>Minuartia verna_Isolate_1-39_3_4</t>
  </si>
  <si>
    <t>1.7059999999999999E-2</t>
  </si>
  <si>
    <t>Minuartia verna_Isolate_1-39_3_5</t>
  </si>
  <si>
    <t>1.0489999999999999E-2</t>
  </si>
  <si>
    <t>Minuartia verna_Isolate_1-39_4_3</t>
  </si>
  <si>
    <t>Isolate_1-39_4</t>
  </si>
  <si>
    <t>1.23E-2</t>
  </si>
  <si>
    <t>Minuartia verna_Isolate_1-39_4_4</t>
  </si>
  <si>
    <t>1.4880000000000001E-2</t>
  </si>
  <si>
    <t>Minuartia verna_Isolate_1-40_1_3</t>
  </si>
  <si>
    <t>0.02</t>
  </si>
  <si>
    <t>Minuartia verna_Isolate_1-40_2_3</t>
  </si>
  <si>
    <t>Minuartia verna_Isolate_1-40_2_4</t>
  </si>
  <si>
    <t>Minuartia verna_Isolate_1-40_3_1</t>
  </si>
  <si>
    <t>1.4999999999999999E-2</t>
  </si>
  <si>
    <t>Minuartia verna_Isolate_1-40_5_3</t>
  </si>
  <si>
    <t>1.2E-2</t>
  </si>
  <si>
    <t>Minuartia verna_Isolate_1-40_5_4</t>
  </si>
  <si>
    <t>5.0000000000000001E-3</t>
  </si>
  <si>
    <t>Minuartia verna_NI_1_3</t>
  </si>
  <si>
    <t>2.5569999999999999E-2</t>
  </si>
  <si>
    <t>Minuartia verna_NI_1_4</t>
  </si>
  <si>
    <t>2.1389999999999999E-2</t>
  </si>
  <si>
    <t>Minuartia verna_NI_2_3</t>
  </si>
  <si>
    <t>7.11E-3</t>
  </si>
  <si>
    <t>Minuartia verna_NI_2_4</t>
  </si>
  <si>
    <t>1.0059999999999999E-2</t>
  </si>
  <si>
    <t>Minuartia verna_NI_4_3</t>
  </si>
  <si>
    <t>4.3400000000000001E-3</t>
  </si>
  <si>
    <t>Minuartia verna_NI_4_4</t>
  </si>
  <si>
    <t>6.9100000000000003E-3</t>
  </si>
  <si>
    <t>Minuartia verna_NI_6_3</t>
  </si>
  <si>
    <t>4.4299999999999999E-3</t>
  </si>
  <si>
    <t>Minuartia verna_NI_6_4</t>
  </si>
  <si>
    <t>9.1299999999999992E-3</t>
  </si>
  <si>
    <t>Minuartia verna_Isolate_1-40_3_4</t>
  </si>
  <si>
    <t>2.4E-2</t>
  </si>
  <si>
    <t>Minuartia verna_Isolate_1-40_4_1</t>
  </si>
  <si>
    <t>Isolate_1-40_4</t>
  </si>
  <si>
    <t>Minuartia verna_Isolate_1-40_4_2</t>
  </si>
  <si>
    <t>8.0000000000000002E-3</t>
  </si>
  <si>
    <t>Minuartia verna_Isolate_1-40_4_3</t>
  </si>
  <si>
    <t>8.9999999999999993E-3</t>
  </si>
  <si>
    <t>Minuartia verna_Isolate_1-40_6_1</t>
  </si>
  <si>
    <t>Isolate_1-40_6</t>
  </si>
  <si>
    <t>1.0999999999999999E-2</t>
  </si>
  <si>
    <t>Minuartia verna_Isolate_1-40_6_2</t>
  </si>
  <si>
    <t>Minuartia verna_Isolate_1-40_6_3</t>
  </si>
  <si>
    <t>0.01</t>
  </si>
  <si>
    <t>Minuartia verna_NI_1_5</t>
  </si>
  <si>
    <t>Minuartia verna_NI_2_5</t>
  </si>
  <si>
    <t>Minuartia verna_NI_3_1</t>
  </si>
  <si>
    <t>NI_3</t>
  </si>
  <si>
    <t>2.1190000000000001E-2</t>
  </si>
  <si>
    <t>Minuartia verna_NI_3_2</t>
  </si>
  <si>
    <t>8.3700000000000007E-3</t>
  </si>
  <si>
    <t>Minuartia verna_NI_5_1</t>
  </si>
  <si>
    <t>NI_5</t>
  </si>
  <si>
    <t>1.634E-2</t>
  </si>
  <si>
    <t>Minuartia verna_NI_5_2</t>
  </si>
  <si>
    <t>1.295E-2</t>
  </si>
  <si>
    <t>Minuartia verna_Isolate_1-39_2_2</t>
  </si>
  <si>
    <t>2.145E-2</t>
  </si>
  <si>
    <t>Minuartia verna_Isolate_1-39_2_3</t>
  </si>
  <si>
    <t>2.0809999999999999E-2</t>
  </si>
  <si>
    <t>Minuartia verna_Isolate_1-39_2_4</t>
  </si>
  <si>
    <t>Minuartia verna_Isolate_1-39_2_5</t>
  </si>
  <si>
    <t>4.0099999999999997E-3</t>
  </si>
  <si>
    <t>Minuartia verna_Isolate_1-39_5_1</t>
  </si>
  <si>
    <t>Isolate_1-39_5</t>
  </si>
  <si>
    <t>1.18E-2</t>
  </si>
  <si>
    <t>Minuartia verna_Isolate_1-39_5_3</t>
  </si>
  <si>
    <t>6.8799999999999998E-3</t>
  </si>
  <si>
    <t>Minuartia verna_Isolate_1-39_5_4</t>
  </si>
  <si>
    <t>1.342E-2</t>
  </si>
  <si>
    <t>Minuartia verna_Isolate_1-39_5_5</t>
  </si>
  <si>
    <t>1.306E-2</t>
  </si>
  <si>
    <t>Minuartia verna_Isolate_1-40_1_5</t>
  </si>
  <si>
    <t>Minuartia verna_Isolate_1-40_2_5</t>
  </si>
  <si>
    <t>3.2000000000000001E-2</t>
  </si>
  <si>
    <t>Minuartia verna_Isolate_1-40_4_4</t>
  </si>
  <si>
    <t>1.4E-2</t>
  </si>
  <si>
    <t>Minuartia verna_Isolate_1-40_4_5</t>
  </si>
  <si>
    <t>Minuartia verna_Isolate_1-40_6_5</t>
  </si>
  <si>
    <t>Minuartia verna_NI_3_3</t>
  </si>
  <si>
    <t>1.5720000000000001E-2</t>
  </si>
  <si>
    <t>Minuartia verna_NI_3_4</t>
  </si>
  <si>
    <t>1.023E-2</t>
  </si>
  <si>
    <t>Minuartia verna_NI_3_5</t>
  </si>
  <si>
    <t>4.4400000000000004E-3</t>
  </si>
  <si>
    <t>Minuartia verna_NI_4_5</t>
  </si>
  <si>
    <t>Minuartia verna_NI_5_3</t>
  </si>
  <si>
    <t>1.5820000000000001E-2</t>
  </si>
  <si>
    <t>Minuartia verna_NI_5_4</t>
  </si>
  <si>
    <t>1.304E-2</t>
  </si>
  <si>
    <t>Arabis alpina_Isolate_1-39_1_3</t>
  </si>
  <si>
    <t>Arabis alpina</t>
  </si>
  <si>
    <t>3.6999999999999998E-2</t>
  </si>
  <si>
    <t>Arabis alpina_Isolate_1-39_2_1</t>
  </si>
  <si>
    <t>5.0999999999999997E-2</t>
  </si>
  <si>
    <t>Arabis alpina_Isolate_1-40_1_1</t>
  </si>
  <si>
    <t>2.5999999999999999E-2</t>
  </si>
  <si>
    <t>Arabis alpina_Isolate_1-40_1_2</t>
  </si>
  <si>
    <t>3.3000000000000002E-2</t>
  </si>
  <si>
    <t>Arabis alpina_Isolate_1-40_1_3</t>
  </si>
  <si>
    <t>Arabis alpina_Isolate_1-40_2_1</t>
  </si>
  <si>
    <t>Arabis alpina_Isolate_1-40_2_2</t>
  </si>
  <si>
    <t>1.7999999999999999E-2</t>
  </si>
  <si>
    <t>Arabis alpina_Isolate_1-40_2_3</t>
  </si>
  <si>
    <t>6.3E-2</t>
  </si>
  <si>
    <t>Arabis alpina_NI_1_1</t>
  </si>
  <si>
    <t>Arabis alpina_NI_1_2</t>
  </si>
  <si>
    <t>Arabis alpina_NI_1_3</t>
  </si>
  <si>
    <t>Arabis alpina_NI_2_1</t>
  </si>
  <si>
    <t>4.5999999999999999E-2</t>
  </si>
  <si>
    <t>Arabis alpina_NI_2_2</t>
  </si>
  <si>
    <t>Arabis alpina_NI_2_3</t>
  </si>
  <si>
    <t>0.05</t>
  </si>
  <si>
    <t>Minuartia verna_Isolate_1-39_6_1</t>
  </si>
  <si>
    <t>Isolate_1-39_6</t>
  </si>
  <si>
    <t>1.7600000000000001E-3</t>
  </si>
  <si>
    <t>Minuartia verna_Isolate_1-39_6_2</t>
  </si>
  <si>
    <t>5.2100000000000002E-3</t>
  </si>
  <si>
    <t>Minuartia verna_Isolate_1-39_6_3</t>
  </si>
  <si>
    <t>6.1700000000000001E-3</t>
  </si>
  <si>
    <t>Minuartia verna_Isolate_1-39_6_4</t>
  </si>
  <si>
    <t>5.7400000000000003E-3</t>
  </si>
  <si>
    <t>Minuartia verna_NI_5_5</t>
  </si>
  <si>
    <t>8.0199999999999994E-3</t>
  </si>
  <si>
    <t>Minuartia verna_NI_6_5</t>
  </si>
  <si>
    <t>3.5500000000000002E-3</t>
  </si>
  <si>
    <t>Arabis alpina_Isolate_1-39_2_2</t>
  </si>
  <si>
    <t>3.4000000000000002E-2</t>
  </si>
  <si>
    <t>Arabis alpina_Isolate_1-39_2_3</t>
  </si>
  <si>
    <t>4.4999999999999998E-2</t>
  </si>
  <si>
    <t>Arabis alpina_Isolate_1-39_3_1</t>
  </si>
  <si>
    <t>Arabis alpina_Isolate_1-39_3_2</t>
  </si>
  <si>
    <t>Arabis alpina_Isolate_1-39_3_3</t>
  </si>
  <si>
    <t>Arabis alpina_Isolate_1-40_3_1</t>
  </si>
  <si>
    <t>3.1E-2</t>
  </si>
  <si>
    <t>Arabis alpina_Isolate_1-40_3_2</t>
  </si>
  <si>
    <t>4.1000000000000002E-2</t>
  </si>
  <si>
    <t>Arabis alpina_Isolate_1-40_3_3</t>
  </si>
  <si>
    <t>2.8000000000000001E-2</t>
  </si>
  <si>
    <t>Arabis alpina_NI_3_3</t>
  </si>
  <si>
    <t>Arabis alpina_NI_3_4</t>
  </si>
  <si>
    <t>Arabis alpina_NI_3_5</t>
  </si>
  <si>
    <t>Arabis alpina_NI_5_1</t>
  </si>
  <si>
    <t>Arabis alpina_NI_5_2</t>
  </si>
  <si>
    <t>Arabis alpina_NI_5_3</t>
  </si>
  <si>
    <t>Arabis alpina_Isolate_1-39_4_3</t>
  </si>
  <si>
    <t>Arabis alpina_Isolate_1-39_5_2</t>
  </si>
  <si>
    <t>Arabis alpina_Isolate_1-39_5_3</t>
  </si>
  <si>
    <t>Arabis alpina_Isolate_1-40_4_1</t>
  </si>
  <si>
    <t>Arabis alpina_Isolate_1-40_4_2</t>
  </si>
  <si>
    <t>Arabis alpina_Isolate_1-40_4_3</t>
  </si>
  <si>
    <t>Arabis alpina_NI_4_1</t>
  </si>
  <si>
    <t>Arabis alpina_NI_4_2</t>
  </si>
  <si>
    <t>Arabis alpina_NI_4_3</t>
  </si>
  <si>
    <t>Arabis alpina_NI_6_1</t>
  </si>
  <si>
    <t>Arabis alpina_NI_6_2</t>
  </si>
  <si>
    <t>Arabis alpina_Isolate_1-39_1_5</t>
  </si>
  <si>
    <t>Arabis alpina_Isolate_1-39_2_4</t>
  </si>
  <si>
    <t>4.0000000000000001E-3</t>
  </si>
  <si>
    <t>Arabis alpina_Isolate_1-39_2_5</t>
  </si>
  <si>
    <t>Arabis alpina_Isolate_1-39_3_5</t>
  </si>
  <si>
    <t>Arabis alpina_Isolate_1-40_1_4</t>
  </si>
  <si>
    <t>Arabis alpina_Isolate_1-40_1_5</t>
  </si>
  <si>
    <t>Arabis alpina_Isolate_1-40_2_4</t>
  </si>
  <si>
    <t>0.03</t>
  </si>
  <si>
    <t>Arabis alpina_Isolate_1-40_3_5</t>
  </si>
  <si>
    <t>Arabis alpina_Isolate_1-40_4_4</t>
  </si>
  <si>
    <t>Arabis alpina_Isolate_1-40_4_5</t>
  </si>
  <si>
    <t>Arabis alpina_NI_3_1</t>
  </si>
  <si>
    <t>Arabis alpina_NI_3_2</t>
  </si>
  <si>
    <t>6.0000000000000001E-3</t>
  </si>
  <si>
    <t>Arabis alpina_NI_4_4</t>
  </si>
  <si>
    <t>Arabis alpina_NI_4_5</t>
  </si>
  <si>
    <t>Arabis alpina_NI_5_5</t>
  </si>
  <si>
    <t>Arabis alpina_Isolate_1-39_3_4</t>
  </si>
  <si>
    <t>Arabis alpina_Isolate_1-39_5_4</t>
  </si>
  <si>
    <t>Arabis alpina_Isolate_1-39_5_5</t>
  </si>
  <si>
    <t>Arabis alpina_Isolate_1-39_6_3</t>
  </si>
  <si>
    <t>2.1000000000000001E-2</t>
  </si>
  <si>
    <t>Arabis alpina_Isolate_1-39_6_4</t>
  </si>
  <si>
    <t>Arabis alpina_Isolate_1-40_5_1</t>
  </si>
  <si>
    <t>Arabis alpina_Isolate_1-40_5_2</t>
  </si>
  <si>
    <t>Arabis alpina_Isolate_1-40_5_4</t>
  </si>
  <si>
    <t>Arabis alpina_Isolate_1-40_5_5</t>
  </si>
  <si>
    <t>Arabis alpina_Isolate_1-40_6_1</t>
  </si>
  <si>
    <t>1.6E-2</t>
  </si>
  <si>
    <t>Arabis alpina_Isolate_1-40_6_4</t>
  </si>
  <si>
    <t>Arabis alpina_NI_6_3</t>
  </si>
  <si>
    <t>Arabis alpina_NI_6_4</t>
  </si>
  <si>
    <t>Arabis alpina_NI_6_5</t>
  </si>
  <si>
    <t>Arabis alpina_Isolate_1-39_1_1</t>
  </si>
  <si>
    <t>7.0000000000000007E-2</t>
  </si>
  <si>
    <t>Arabis alpina_Isolate_1-39_1_2</t>
  </si>
  <si>
    <t>0.113</t>
  </si>
  <si>
    <t>Arabis alpina_Isolate_1-39_1_4</t>
  </si>
  <si>
    <t>Arabis alpina_Isolate_1-39_4_2</t>
  </si>
  <si>
    <t>2.5000000000000001E-2</t>
  </si>
  <si>
    <t>Arabis alpina_Isolate_1-40_3_4</t>
  </si>
  <si>
    <t>Arabis alpina_NI_1_4</t>
  </si>
  <si>
    <t>4.7E-2</t>
  </si>
  <si>
    <t>Arabis alpina_NI_1_5</t>
  </si>
  <si>
    <t>Arabis alpina_NI_5_4</t>
  </si>
  <si>
    <t>6.4000000000000001E-2</t>
  </si>
  <si>
    <t>Minuartia verna_Isolate_1-39_4_1</t>
  </si>
  <si>
    <t>2.6499999999999999E-2</t>
  </si>
  <si>
    <t>Minuartia verna_Isolate_1-39_5_2</t>
  </si>
  <si>
    <t>1.6219999999999998E-2</t>
  </si>
  <si>
    <t>Minuartia verna_Isolate_1-40_2_1</t>
  </si>
  <si>
    <t>Minuartia verna_Isolate_1-40_5_1</t>
  </si>
  <si>
    <t>Arabis alpina_Isolate_1-39_4_4</t>
  </si>
  <si>
    <t>Arabis alpina_Isolate_1-39_4_5</t>
  </si>
  <si>
    <t>Arabis alpina_Isolate_1-39_6_1</t>
  </si>
  <si>
    <t>Arabis alpina_Isolate_1-39_6_2</t>
  </si>
  <si>
    <t>3.9E-2</t>
  </si>
  <si>
    <t>Arabis alpina_Isolate_1-39_6_5</t>
  </si>
  <si>
    <t>Arabis alpina_Isolate_1-40_6_3</t>
  </si>
  <si>
    <t>Arabis alpina_Isolate_1-40_6_5</t>
  </si>
  <si>
    <t>4.9000000000000002E-2</t>
  </si>
  <si>
    <t>Minuartia verna_Isolate_1-39_4_2</t>
  </si>
  <si>
    <t>1.5219999999999999E-2</t>
  </si>
  <si>
    <t>Minuartia verna_Isolate_1-39_4_5</t>
  </si>
  <si>
    <t>1.0659999999999999E-2</t>
  </si>
  <si>
    <t>Minuartia verna_Isolate_1-40_1_4</t>
  </si>
  <si>
    <t>Arabis alpina_Isolate_1-39_4_1</t>
  </si>
  <si>
    <t>5.5E-2</t>
  </si>
  <si>
    <t>Arabis alpina_Isolate_1-39_5_1</t>
  </si>
  <si>
    <t>4.8000000000000001E-2</t>
  </si>
  <si>
    <t>Arabis alpina_Isolate_1-40_2_5</t>
  </si>
  <si>
    <t>6.2E-2</t>
  </si>
  <si>
    <t>Arabis alpina_Isolate_1-40_5_3</t>
  </si>
  <si>
    <t>Arabis alpina_Isolate_1-40_6_2</t>
  </si>
  <si>
    <t>0.1</t>
  </si>
  <si>
    <t>Minuartia verna_Isolate_1-40_3_3</t>
  </si>
  <si>
    <t>Minuartia verna_Isolate_1-40_3_5</t>
  </si>
  <si>
    <t>Minuartia verna_Isolate_1-40_6_4</t>
  </si>
  <si>
    <t>PO4_µg_ml_mean</t>
  </si>
  <si>
    <t>PO4_µg_gDW</t>
  </si>
  <si>
    <t>PO4_µg_mgFW</t>
  </si>
  <si>
    <t>PO4_µg_total</t>
  </si>
  <si>
    <t>PO4_µg_mgDW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</si>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</sst>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tabSelected="1" workbookViewId="0">
      <selection activeCell="M1" sqref="M1:M1048576"/>
    </sheetView>
  </sheetViews>
  <sheetFormatPr baseColWidth="10" defaultRowHeight="15" x14ac:dyDescent="0.25"/>
  <cols>
    <col min="2" max="2" width="36.7109375" customWidth="1"/>
    <col min="14" max="14" width="18.28515625" customWidth="1"/>
    <col min="15" max="15" width="18.85546875" customWidth="1"/>
    <col min="16" max="16" width="17.140625" customWidth="1"/>
    <col min="17" max="17" width="19.7109375" customWidth="1"/>
  </cols>
  <sheetData>
    <row r="1" spans="1:17" x14ac:dyDescent="0.25">
      <c r="A1" t="s">
        <v>311</v>
      </c>
      <c r="B1" t="s">
        <v>0</v>
      </c>
      <c r="C1" t="s">
        <v>306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307</v>
      </c>
      <c r="O1" t="s">
        <v>308</v>
      </c>
      <c r="P1" t="s">
        <v>309</v>
      </c>
      <c r="Q1" t="s">
        <v>310</v>
      </c>
    </row>
    <row r="2" spans="1:17" x14ac:dyDescent="0.25">
      <c r="A2">
        <v>1</v>
      </c>
      <c r="B2" t="s">
        <v>11</v>
      </c>
      <c r="C2">
        <v>1.0249299428710099</v>
      </c>
      <c r="D2">
        <v>0.45196666320165002</v>
      </c>
      <c r="E2" t="s">
        <v>12</v>
      </c>
      <c r="F2" t="s">
        <v>13</v>
      </c>
      <c r="G2">
        <v>1</v>
      </c>
      <c r="H2" t="s">
        <v>14</v>
      </c>
      <c r="I2">
        <v>1</v>
      </c>
      <c r="J2" t="s">
        <v>15</v>
      </c>
      <c r="K2">
        <v>2.2799999999999998</v>
      </c>
      <c r="L2">
        <v>5.1000000000000004E-4</v>
      </c>
      <c r="M2">
        <v>0.51</v>
      </c>
      <c r="N2">
        <v>6280.2079832782401</v>
      </c>
      <c r="O2">
        <v>1.40478336468066</v>
      </c>
      <c r="P2">
        <v>3.2029060714719</v>
      </c>
      <c r="Q2">
        <v>6.28020798327824</v>
      </c>
    </row>
    <row r="3" spans="1:17" x14ac:dyDescent="0.25">
      <c r="A3">
        <v>1</v>
      </c>
      <c r="B3" t="s">
        <v>16</v>
      </c>
      <c r="C3">
        <v>1.95378151260504</v>
      </c>
      <c r="D3">
        <v>0.5625</v>
      </c>
      <c r="E3" t="s">
        <v>12</v>
      </c>
      <c r="F3" t="s">
        <v>13</v>
      </c>
      <c r="G3">
        <v>1</v>
      </c>
      <c r="H3" t="s">
        <v>14</v>
      </c>
      <c r="I3">
        <v>2</v>
      </c>
      <c r="J3" t="s">
        <v>17</v>
      </c>
      <c r="K3">
        <v>4.47</v>
      </c>
      <c r="L3">
        <v>6.6E-4</v>
      </c>
      <c r="M3">
        <v>0.66</v>
      </c>
      <c r="N3">
        <v>9250.8594346829595</v>
      </c>
      <c r="O3">
        <v>1.36589870847668</v>
      </c>
      <c r="P3">
        <v>6.1055672268907601</v>
      </c>
      <c r="Q3">
        <v>9.25085943468296</v>
      </c>
    </row>
    <row r="4" spans="1:17" x14ac:dyDescent="0.25">
      <c r="A4">
        <v>1</v>
      </c>
      <c r="B4" t="s">
        <v>18</v>
      </c>
      <c r="C4">
        <v>3.1593839594630002</v>
      </c>
      <c r="D4">
        <v>0.70596669117609701</v>
      </c>
      <c r="E4" t="s">
        <v>12</v>
      </c>
      <c r="F4" t="s">
        <v>13</v>
      </c>
      <c r="G4">
        <v>3</v>
      </c>
      <c r="H4" t="s">
        <v>19</v>
      </c>
      <c r="I4">
        <v>1</v>
      </c>
      <c r="J4" t="s">
        <v>20</v>
      </c>
      <c r="K4">
        <v>10.74</v>
      </c>
      <c r="L4">
        <v>2.4499999999999999E-3</v>
      </c>
      <c r="M4">
        <v>2.4500000000000002</v>
      </c>
      <c r="N4">
        <v>4029.8264789068799</v>
      </c>
      <c r="O4">
        <v>0.91928071446199799</v>
      </c>
      <c r="P4">
        <v>9.8730748733218601</v>
      </c>
      <c r="Q4">
        <v>4.0298264789068803</v>
      </c>
    </row>
    <row r="5" spans="1:17" x14ac:dyDescent="0.25">
      <c r="A5">
        <v>1</v>
      </c>
      <c r="B5" t="s">
        <v>21</v>
      </c>
      <c r="C5">
        <v>3.9201679617082998</v>
      </c>
      <c r="D5">
        <v>0.79649998744328798</v>
      </c>
      <c r="E5" t="s">
        <v>12</v>
      </c>
      <c r="F5" t="s">
        <v>13</v>
      </c>
      <c r="G5">
        <v>3</v>
      </c>
      <c r="H5" t="s">
        <v>19</v>
      </c>
      <c r="I5">
        <v>2</v>
      </c>
      <c r="J5" t="s">
        <v>22</v>
      </c>
      <c r="K5">
        <v>16.23</v>
      </c>
      <c r="L5">
        <v>2.9099999999999998E-3</v>
      </c>
      <c r="M5">
        <v>2.91</v>
      </c>
      <c r="N5">
        <v>4209.8023643774704</v>
      </c>
      <c r="O5">
        <v>0.75480744795677401</v>
      </c>
      <c r="P5">
        <v>12.2505248803384</v>
      </c>
      <c r="Q5">
        <v>4.2098023643774702</v>
      </c>
    </row>
    <row r="6" spans="1:17" x14ac:dyDescent="0.25">
      <c r="A6">
        <v>1</v>
      </c>
      <c r="B6" t="s">
        <v>23</v>
      </c>
      <c r="C6">
        <v>3.63669478258833</v>
      </c>
      <c r="D6">
        <v>0.76276667912801099</v>
      </c>
      <c r="E6" t="s">
        <v>12</v>
      </c>
      <c r="F6" t="s">
        <v>24</v>
      </c>
      <c r="G6">
        <v>1</v>
      </c>
      <c r="H6" t="s">
        <v>25</v>
      </c>
      <c r="I6">
        <v>1</v>
      </c>
      <c r="J6" t="s">
        <v>26</v>
      </c>
      <c r="K6">
        <v>19</v>
      </c>
      <c r="L6">
        <v>2.3400000000000001E-3</v>
      </c>
      <c r="M6">
        <v>2.34</v>
      </c>
      <c r="N6">
        <v>4856.6970921318498</v>
      </c>
      <c r="O6">
        <v>0.59814058924150104</v>
      </c>
      <c r="P6">
        <v>11.3646711955885</v>
      </c>
      <c r="Q6">
        <v>4.8566970921318502</v>
      </c>
    </row>
    <row r="7" spans="1:17" x14ac:dyDescent="0.25">
      <c r="A7">
        <v>1</v>
      </c>
      <c r="B7" t="s">
        <v>27</v>
      </c>
      <c r="C7">
        <v>3.36498592414108</v>
      </c>
      <c r="D7">
        <v>0.73043332497278801</v>
      </c>
      <c r="E7" t="s">
        <v>12</v>
      </c>
      <c r="F7" t="s">
        <v>24</v>
      </c>
      <c r="G7">
        <v>1</v>
      </c>
      <c r="H7" t="s">
        <v>25</v>
      </c>
      <c r="I7">
        <v>2</v>
      </c>
      <c r="J7" t="s">
        <v>28</v>
      </c>
      <c r="K7">
        <v>22</v>
      </c>
      <c r="L7">
        <v>2.48E-3</v>
      </c>
      <c r="M7">
        <v>2.48</v>
      </c>
      <c r="N7">
        <v>4240.1536342503496</v>
      </c>
      <c r="O7">
        <v>0.477980955133676</v>
      </c>
      <c r="P7">
        <v>10.515581012940901</v>
      </c>
      <c r="Q7">
        <v>4.2401536342503503</v>
      </c>
    </row>
    <row r="8" spans="1:17" x14ac:dyDescent="0.25">
      <c r="A8">
        <v>1</v>
      </c>
      <c r="B8" t="s">
        <v>29</v>
      </c>
      <c r="C8">
        <v>1.7296919234994399</v>
      </c>
      <c r="D8">
        <v>0.53583333889643303</v>
      </c>
      <c r="E8" t="s">
        <v>12</v>
      </c>
      <c r="F8" t="s">
        <v>24</v>
      </c>
      <c r="G8">
        <v>2</v>
      </c>
      <c r="H8" t="s">
        <v>30</v>
      </c>
      <c r="I8">
        <v>2</v>
      </c>
      <c r="J8" t="s">
        <v>31</v>
      </c>
      <c r="K8">
        <v>13</v>
      </c>
      <c r="L8">
        <v>1.5299999999999999E-3</v>
      </c>
      <c r="M8">
        <v>1.53</v>
      </c>
      <c r="N8">
        <v>3532.86749080768</v>
      </c>
      <c r="O8">
        <v>0.41579132776428901</v>
      </c>
      <c r="P8">
        <v>5.4052872609357498</v>
      </c>
      <c r="Q8">
        <v>3.5328674908076798</v>
      </c>
    </row>
    <row r="9" spans="1:17" x14ac:dyDescent="0.25">
      <c r="A9">
        <v>1</v>
      </c>
      <c r="B9" t="s">
        <v>32</v>
      </c>
      <c r="C9">
        <v>2.5428572221964298</v>
      </c>
      <c r="D9">
        <v>0.63260000944137595</v>
      </c>
      <c r="E9" t="s">
        <v>12</v>
      </c>
      <c r="F9" t="s">
        <v>24</v>
      </c>
      <c r="G9">
        <v>3</v>
      </c>
      <c r="H9" t="s">
        <v>33</v>
      </c>
      <c r="I9">
        <v>2</v>
      </c>
      <c r="J9" t="s">
        <v>34</v>
      </c>
      <c r="K9">
        <v>17</v>
      </c>
      <c r="L9">
        <v>2.31E-3</v>
      </c>
      <c r="M9">
        <v>2.31</v>
      </c>
      <c r="N9">
        <v>3440.0124759150899</v>
      </c>
      <c r="O9">
        <v>0.46743698937434502</v>
      </c>
      <c r="P9">
        <v>7.9464288193638604</v>
      </c>
      <c r="Q9">
        <v>3.4400124759150899</v>
      </c>
    </row>
    <row r="10" spans="1:17" x14ac:dyDescent="0.25">
      <c r="A10">
        <v>1</v>
      </c>
      <c r="B10" t="s">
        <v>35</v>
      </c>
      <c r="C10">
        <v>1.7439776709099799</v>
      </c>
      <c r="D10">
        <v>0.53753334283828702</v>
      </c>
      <c r="E10" t="s">
        <v>12</v>
      </c>
      <c r="F10" t="s">
        <v>24</v>
      </c>
      <c r="G10">
        <v>5</v>
      </c>
      <c r="H10" t="s">
        <v>36</v>
      </c>
      <c r="I10">
        <v>2</v>
      </c>
      <c r="J10" t="s">
        <v>37</v>
      </c>
      <c r="K10">
        <v>7</v>
      </c>
      <c r="L10">
        <v>1.06E-3</v>
      </c>
      <c r="M10">
        <v>1.06</v>
      </c>
      <c r="N10">
        <v>5141.4436052770598</v>
      </c>
      <c r="O10">
        <v>0.77856146022766803</v>
      </c>
      <c r="P10">
        <v>5.4499302215936796</v>
      </c>
      <c r="Q10">
        <v>5.1414436052770602</v>
      </c>
    </row>
    <row r="11" spans="1:17" x14ac:dyDescent="0.25">
      <c r="A11">
        <v>1</v>
      </c>
      <c r="B11" t="s">
        <v>38</v>
      </c>
      <c r="C11">
        <v>2.7845937931904898</v>
      </c>
      <c r="D11">
        <v>0.66136666138966904</v>
      </c>
      <c r="E11" t="s">
        <v>12</v>
      </c>
      <c r="F11" t="s">
        <v>39</v>
      </c>
      <c r="G11">
        <v>1</v>
      </c>
      <c r="H11" t="s">
        <v>40</v>
      </c>
      <c r="I11">
        <v>1</v>
      </c>
      <c r="J11" t="s">
        <v>41</v>
      </c>
      <c r="K11">
        <v>21.41</v>
      </c>
      <c r="L11">
        <v>2.8400000000000001E-3</v>
      </c>
      <c r="M11">
        <v>2.84</v>
      </c>
      <c r="N11">
        <v>3064.0336632817898</v>
      </c>
      <c r="O11">
        <v>0.406438841836539</v>
      </c>
      <c r="P11">
        <v>8.7018556037202899</v>
      </c>
      <c r="Q11">
        <v>3.0640336632817902</v>
      </c>
    </row>
    <row r="12" spans="1:17" x14ac:dyDescent="0.25">
      <c r="A12">
        <v>1</v>
      </c>
      <c r="B12" t="s">
        <v>42</v>
      </c>
      <c r="C12">
        <v>3.40504208198782</v>
      </c>
      <c r="D12">
        <v>0.73520000775655103</v>
      </c>
      <c r="E12" t="s">
        <v>12</v>
      </c>
      <c r="F12" t="s">
        <v>39</v>
      </c>
      <c r="G12">
        <v>1</v>
      </c>
      <c r="H12" t="s">
        <v>40</v>
      </c>
      <c r="I12">
        <v>2</v>
      </c>
      <c r="J12" t="s">
        <v>43</v>
      </c>
      <c r="K12">
        <v>27.38</v>
      </c>
      <c r="L12">
        <v>3.2100000000000002E-3</v>
      </c>
      <c r="M12">
        <v>3.21</v>
      </c>
      <c r="N12">
        <v>3314.8774162653999</v>
      </c>
      <c r="O12">
        <v>0.388632450920816</v>
      </c>
      <c r="P12">
        <v>10.640756506212</v>
      </c>
      <c r="Q12">
        <v>3.3148774162654</v>
      </c>
    </row>
    <row r="13" spans="1:17" x14ac:dyDescent="0.25">
      <c r="A13">
        <v>1</v>
      </c>
      <c r="B13" t="s">
        <v>44</v>
      </c>
      <c r="C13">
        <v>1.9187675403947599</v>
      </c>
      <c r="D13">
        <v>0.55833333730697599</v>
      </c>
      <c r="E13" t="s">
        <v>12</v>
      </c>
      <c r="F13" t="s">
        <v>39</v>
      </c>
      <c r="G13">
        <v>2</v>
      </c>
      <c r="H13" t="s">
        <v>45</v>
      </c>
      <c r="I13">
        <v>1</v>
      </c>
      <c r="J13" t="s">
        <v>46</v>
      </c>
      <c r="K13">
        <v>14.7</v>
      </c>
      <c r="L13">
        <v>2.8700000000000002E-3</v>
      </c>
      <c r="M13">
        <v>2.87</v>
      </c>
      <c r="N13">
        <v>2089.2503706388902</v>
      </c>
      <c r="O13">
        <v>0.40790126283902201</v>
      </c>
      <c r="P13">
        <v>5.9961485637336196</v>
      </c>
      <c r="Q13">
        <v>2.0892503706388901</v>
      </c>
    </row>
    <row r="14" spans="1:17" x14ac:dyDescent="0.25">
      <c r="A14">
        <v>1</v>
      </c>
      <c r="B14" t="s">
        <v>47</v>
      </c>
      <c r="C14">
        <v>1.15462180279216</v>
      </c>
      <c r="D14">
        <v>0.46739999453226699</v>
      </c>
      <c r="E14" t="s">
        <v>12</v>
      </c>
      <c r="F14" t="s">
        <v>39</v>
      </c>
      <c r="G14">
        <v>2</v>
      </c>
      <c r="H14" t="s">
        <v>45</v>
      </c>
      <c r="I14">
        <v>2</v>
      </c>
      <c r="J14" t="s">
        <v>48</v>
      </c>
      <c r="K14">
        <v>9.2100000000000009</v>
      </c>
      <c r="L14">
        <v>1.58E-3</v>
      </c>
      <c r="M14">
        <v>1.58</v>
      </c>
      <c r="N14">
        <v>2283.6665403326001</v>
      </c>
      <c r="O14">
        <v>0.39176906989419202</v>
      </c>
      <c r="P14">
        <v>3.6081931337255102</v>
      </c>
      <c r="Q14">
        <v>2.2836665403326002</v>
      </c>
    </row>
    <row r="15" spans="1:17" x14ac:dyDescent="0.25">
      <c r="A15">
        <v>1</v>
      </c>
      <c r="B15" t="s">
        <v>49</v>
      </c>
      <c r="C15">
        <v>1.5927171106098099</v>
      </c>
      <c r="D15">
        <v>0.51953333616256703</v>
      </c>
      <c r="E15" t="s">
        <v>12</v>
      </c>
      <c r="F15" t="s">
        <v>39</v>
      </c>
      <c r="G15">
        <v>4</v>
      </c>
      <c r="H15" t="s">
        <v>50</v>
      </c>
      <c r="I15">
        <v>1</v>
      </c>
      <c r="J15" t="s">
        <v>51</v>
      </c>
      <c r="K15">
        <v>14.31</v>
      </c>
      <c r="L15">
        <v>2.32E-3</v>
      </c>
      <c r="M15">
        <v>2.3199999999999998</v>
      </c>
      <c r="N15">
        <v>2145.3624873515701</v>
      </c>
      <c r="O15">
        <v>0.34781558145741798</v>
      </c>
      <c r="P15">
        <v>4.9772409706556502</v>
      </c>
      <c r="Q15">
        <v>2.1453624873515702</v>
      </c>
    </row>
    <row r="16" spans="1:17" x14ac:dyDescent="0.25">
      <c r="A16">
        <v>1</v>
      </c>
      <c r="B16" t="s">
        <v>52</v>
      </c>
      <c r="C16">
        <v>1.17731088683719</v>
      </c>
      <c r="D16">
        <v>0.47009999553362503</v>
      </c>
      <c r="E16" t="s">
        <v>12</v>
      </c>
      <c r="F16" t="s">
        <v>39</v>
      </c>
      <c r="G16">
        <v>4</v>
      </c>
      <c r="H16" t="s">
        <v>50</v>
      </c>
      <c r="I16">
        <v>2</v>
      </c>
      <c r="J16" t="s">
        <v>53</v>
      </c>
      <c r="K16">
        <v>7.9</v>
      </c>
      <c r="L16">
        <v>2.7100000000000002E-3</v>
      </c>
      <c r="M16">
        <v>2.71</v>
      </c>
      <c r="N16">
        <v>1357.6001923860599</v>
      </c>
      <c r="O16">
        <v>0.465708420426102</v>
      </c>
      <c r="P16">
        <v>3.6790965213662101</v>
      </c>
      <c r="Q16">
        <v>1.3576001923860599</v>
      </c>
    </row>
    <row r="17" spans="1:17" x14ac:dyDescent="0.25">
      <c r="A17">
        <v>1</v>
      </c>
      <c r="B17" t="s">
        <v>54</v>
      </c>
      <c r="C17">
        <v>3.1081232971169999</v>
      </c>
      <c r="D17">
        <v>0.69986667235692301</v>
      </c>
      <c r="E17" t="s">
        <v>12</v>
      </c>
      <c r="F17" t="s">
        <v>39</v>
      </c>
      <c r="G17">
        <v>6</v>
      </c>
      <c r="H17" t="s">
        <v>55</v>
      </c>
      <c r="I17">
        <v>1</v>
      </c>
      <c r="J17" t="s">
        <v>56</v>
      </c>
      <c r="K17">
        <v>9.1199999999999992</v>
      </c>
      <c r="L17">
        <v>1.5399999999999999E-3</v>
      </c>
      <c r="M17">
        <v>1.54</v>
      </c>
      <c r="N17">
        <v>6307.0683788900196</v>
      </c>
      <c r="O17">
        <v>1.0650093534529199</v>
      </c>
      <c r="P17">
        <v>9.7128853034906406</v>
      </c>
      <c r="Q17">
        <v>6.3070683788900199</v>
      </c>
    </row>
    <row r="18" spans="1:17" x14ac:dyDescent="0.25">
      <c r="A18">
        <v>1</v>
      </c>
      <c r="B18" t="s">
        <v>57</v>
      </c>
      <c r="C18">
        <v>0.38487397989972899</v>
      </c>
      <c r="D18">
        <v>0.37580000360806798</v>
      </c>
      <c r="E18" t="s">
        <v>12</v>
      </c>
      <c r="F18" t="s">
        <v>39</v>
      </c>
      <c r="G18">
        <v>6</v>
      </c>
      <c r="H18" t="s">
        <v>55</v>
      </c>
      <c r="I18">
        <v>2</v>
      </c>
      <c r="J18" t="s">
        <v>58</v>
      </c>
      <c r="K18">
        <v>3.61</v>
      </c>
      <c r="L18">
        <v>7.7999999999999999E-4</v>
      </c>
      <c r="M18">
        <v>0.78</v>
      </c>
      <c r="N18">
        <v>1541.9630604957099</v>
      </c>
      <c r="O18">
        <v>0.33316653384671902</v>
      </c>
      <c r="P18">
        <v>1.20273118718665</v>
      </c>
      <c r="Q18">
        <v>1.54196306049571</v>
      </c>
    </row>
    <row r="19" spans="1:17" x14ac:dyDescent="0.25">
      <c r="A19">
        <v>1</v>
      </c>
      <c r="B19" t="s">
        <v>59</v>
      </c>
      <c r="C19">
        <v>5.29764707415712</v>
      </c>
      <c r="D19">
        <v>0.78030000130335497</v>
      </c>
      <c r="E19" t="s">
        <v>12</v>
      </c>
      <c r="F19" t="s">
        <v>13</v>
      </c>
      <c r="G19">
        <v>1</v>
      </c>
      <c r="H19" t="s">
        <v>14</v>
      </c>
      <c r="I19">
        <v>3</v>
      </c>
      <c r="J19" t="s">
        <v>60</v>
      </c>
      <c r="K19">
        <v>31.78</v>
      </c>
      <c r="L19">
        <v>3.9100000000000003E-3</v>
      </c>
      <c r="M19">
        <v>3.91</v>
      </c>
      <c r="N19">
        <v>4234.0529684759604</v>
      </c>
      <c r="O19">
        <v>0.52092973904156703</v>
      </c>
      <c r="P19">
        <v>16.555147106741</v>
      </c>
      <c r="Q19">
        <v>4.23405296847596</v>
      </c>
    </row>
    <row r="20" spans="1:17" x14ac:dyDescent="0.25">
      <c r="A20">
        <v>1</v>
      </c>
      <c r="B20" t="s">
        <v>61</v>
      </c>
      <c r="C20">
        <v>2.9615687762989702</v>
      </c>
      <c r="D20">
        <v>0.58173334598541304</v>
      </c>
      <c r="E20" t="s">
        <v>12</v>
      </c>
      <c r="F20" t="s">
        <v>13</v>
      </c>
      <c r="G20">
        <v>2</v>
      </c>
      <c r="H20" t="s">
        <v>62</v>
      </c>
      <c r="I20">
        <v>1</v>
      </c>
      <c r="J20" t="s">
        <v>63</v>
      </c>
      <c r="K20">
        <v>14.48</v>
      </c>
      <c r="L20">
        <v>1.83E-3</v>
      </c>
      <c r="M20">
        <v>1.83</v>
      </c>
      <c r="N20">
        <v>5057.3237300187402</v>
      </c>
      <c r="O20">
        <v>0.63915072002308604</v>
      </c>
      <c r="P20">
        <v>9.25490242593429</v>
      </c>
      <c r="Q20">
        <v>5.0573237300187399</v>
      </c>
    </row>
    <row r="21" spans="1:17" x14ac:dyDescent="0.25">
      <c r="A21">
        <v>1</v>
      </c>
      <c r="B21" t="s">
        <v>64</v>
      </c>
      <c r="C21">
        <v>5.4337254131541499</v>
      </c>
      <c r="D21">
        <v>0.79186666011810303</v>
      </c>
      <c r="E21" t="s">
        <v>12</v>
      </c>
      <c r="F21" t="s">
        <v>13</v>
      </c>
      <c r="G21">
        <v>3</v>
      </c>
      <c r="H21" t="s">
        <v>19</v>
      </c>
      <c r="I21">
        <v>3</v>
      </c>
      <c r="J21" t="s">
        <v>65</v>
      </c>
      <c r="K21">
        <v>22.27</v>
      </c>
      <c r="L21">
        <v>2.9099999999999998E-3</v>
      </c>
      <c r="M21">
        <v>2.91</v>
      </c>
      <c r="N21">
        <v>5835.1862254662301</v>
      </c>
      <c r="O21">
        <v>0.76247830786289705</v>
      </c>
      <c r="P21">
        <v>16.980391916106701</v>
      </c>
      <c r="Q21">
        <v>5.8351862254662299</v>
      </c>
    </row>
    <row r="22" spans="1:17" x14ac:dyDescent="0.25">
      <c r="A22">
        <v>1</v>
      </c>
      <c r="B22" t="s">
        <v>66</v>
      </c>
      <c r="C22">
        <v>3.60078418021109</v>
      </c>
      <c r="D22">
        <v>0.63606665531794204</v>
      </c>
      <c r="E22" t="s">
        <v>12</v>
      </c>
      <c r="F22" t="s">
        <v>13</v>
      </c>
      <c r="G22">
        <v>3</v>
      </c>
      <c r="H22" t="s">
        <v>19</v>
      </c>
      <c r="I22">
        <v>4</v>
      </c>
      <c r="J22" t="s">
        <v>67</v>
      </c>
      <c r="K22">
        <v>17.059999999999999</v>
      </c>
      <c r="L22">
        <v>2.5500000000000002E-3</v>
      </c>
      <c r="M22">
        <v>2.5499999999999998</v>
      </c>
      <c r="N22">
        <v>4412.725711043</v>
      </c>
      <c r="O22">
        <v>0.65958092398356605</v>
      </c>
      <c r="P22">
        <v>11.2524505631596</v>
      </c>
      <c r="Q22">
        <v>4.4127257110429996</v>
      </c>
    </row>
    <row r="23" spans="1:17" x14ac:dyDescent="0.25">
      <c r="A23">
        <v>1</v>
      </c>
      <c r="B23" t="s">
        <v>68</v>
      </c>
      <c r="C23">
        <v>2.7545097201478201</v>
      </c>
      <c r="D23">
        <v>0.56413332621256496</v>
      </c>
      <c r="E23" t="s">
        <v>12</v>
      </c>
      <c r="F23" t="s">
        <v>13</v>
      </c>
      <c r="G23">
        <v>3</v>
      </c>
      <c r="H23" t="s">
        <v>19</v>
      </c>
      <c r="I23">
        <v>5</v>
      </c>
      <c r="J23" t="s">
        <v>69</v>
      </c>
      <c r="K23">
        <v>10.49</v>
      </c>
      <c r="L23">
        <v>1.7099999999999999E-3</v>
      </c>
      <c r="M23">
        <v>1.71</v>
      </c>
      <c r="N23">
        <v>5033.8262429602</v>
      </c>
      <c r="O23">
        <v>0.82057606057787902</v>
      </c>
      <c r="P23">
        <v>8.6078428754619498</v>
      </c>
      <c r="Q23">
        <v>5.0338262429601999</v>
      </c>
    </row>
    <row r="24" spans="1:17" x14ac:dyDescent="0.25">
      <c r="A24">
        <v>1</v>
      </c>
      <c r="B24" t="s">
        <v>70</v>
      </c>
      <c r="C24">
        <v>3.31764715793086</v>
      </c>
      <c r="D24">
        <v>0.61200000842412305</v>
      </c>
      <c r="E24" t="s">
        <v>12</v>
      </c>
      <c r="F24" t="s">
        <v>13</v>
      </c>
      <c r="G24">
        <v>4</v>
      </c>
      <c r="H24" t="s">
        <v>71</v>
      </c>
      <c r="I24">
        <v>3</v>
      </c>
      <c r="J24" t="s">
        <v>72</v>
      </c>
      <c r="K24">
        <v>12.3</v>
      </c>
      <c r="L24">
        <v>1.9400000000000001E-3</v>
      </c>
      <c r="M24">
        <v>1.94</v>
      </c>
      <c r="N24">
        <v>5344.1481281102797</v>
      </c>
      <c r="O24">
        <v>0.84289816004340901</v>
      </c>
      <c r="P24">
        <v>10.3676473685339</v>
      </c>
      <c r="Q24">
        <v>5.3441481281102803</v>
      </c>
    </row>
    <row r="25" spans="1:17" x14ac:dyDescent="0.25">
      <c r="A25">
        <v>1</v>
      </c>
      <c r="B25" t="s">
        <v>73</v>
      </c>
      <c r="C25">
        <v>3.3992157636904201</v>
      </c>
      <c r="D25">
        <v>0.61893333991368604</v>
      </c>
      <c r="E25" t="s">
        <v>12</v>
      </c>
      <c r="F25" t="s">
        <v>13</v>
      </c>
      <c r="G25">
        <v>4</v>
      </c>
      <c r="H25" t="s">
        <v>71</v>
      </c>
      <c r="I25">
        <v>4</v>
      </c>
      <c r="J25" t="s">
        <v>74</v>
      </c>
      <c r="K25">
        <v>14.88</v>
      </c>
      <c r="L25">
        <v>2.1800000000000001E-3</v>
      </c>
      <c r="M25">
        <v>2.1800000000000002</v>
      </c>
      <c r="N25">
        <v>4872.7290190516396</v>
      </c>
      <c r="O25">
        <v>0.71388099875890998</v>
      </c>
      <c r="P25">
        <v>10.622549261532599</v>
      </c>
      <c r="Q25">
        <v>4.8727290190516399</v>
      </c>
    </row>
    <row r="26" spans="1:17" x14ac:dyDescent="0.25">
      <c r="A26">
        <v>1</v>
      </c>
      <c r="B26" t="s">
        <v>75</v>
      </c>
      <c r="C26">
        <v>3.9752941879571599</v>
      </c>
      <c r="D26">
        <v>0.66790000597635901</v>
      </c>
      <c r="E26" t="s">
        <v>12</v>
      </c>
      <c r="F26" t="s">
        <v>24</v>
      </c>
      <c r="G26">
        <v>1</v>
      </c>
      <c r="H26" t="s">
        <v>25</v>
      </c>
      <c r="I26">
        <v>3</v>
      </c>
      <c r="J26" t="s">
        <v>76</v>
      </c>
      <c r="K26">
        <v>20</v>
      </c>
      <c r="L26">
        <v>2.7000000000000001E-3</v>
      </c>
      <c r="M26">
        <v>2.7</v>
      </c>
      <c r="N26">
        <v>4601.0349397652399</v>
      </c>
      <c r="O26">
        <v>0.62113971686830705</v>
      </c>
      <c r="P26">
        <v>12.422794337366099</v>
      </c>
      <c r="Q26">
        <v>4.6010349397652401</v>
      </c>
    </row>
    <row r="27" spans="1:17" x14ac:dyDescent="0.25">
      <c r="A27">
        <v>1</v>
      </c>
      <c r="B27" t="s">
        <v>77</v>
      </c>
      <c r="C27">
        <v>3.2674511647691902</v>
      </c>
      <c r="D27">
        <v>0.60773334900538101</v>
      </c>
      <c r="E27" t="s">
        <v>12</v>
      </c>
      <c r="F27" t="s">
        <v>24</v>
      </c>
      <c r="G27">
        <v>2</v>
      </c>
      <c r="H27" t="s">
        <v>30</v>
      </c>
      <c r="I27">
        <v>3</v>
      </c>
      <c r="J27" t="s">
        <v>34</v>
      </c>
      <c r="K27">
        <v>17</v>
      </c>
      <c r="L27">
        <v>1.9E-3</v>
      </c>
      <c r="M27">
        <v>1.9</v>
      </c>
      <c r="N27">
        <v>5374.0973104756404</v>
      </c>
      <c r="O27">
        <v>0.60063440528845402</v>
      </c>
      <c r="P27">
        <v>10.210784889903699</v>
      </c>
      <c r="Q27">
        <v>5.3740973104756398</v>
      </c>
    </row>
    <row r="28" spans="1:17" x14ac:dyDescent="0.25">
      <c r="A28">
        <v>1</v>
      </c>
      <c r="B28" t="s">
        <v>78</v>
      </c>
      <c r="C28">
        <v>1.7709803721484001</v>
      </c>
      <c r="D28">
        <v>0.48053333163261402</v>
      </c>
      <c r="E28" t="s">
        <v>12</v>
      </c>
      <c r="F28" t="s">
        <v>24</v>
      </c>
      <c r="G28">
        <v>2</v>
      </c>
      <c r="H28" t="s">
        <v>30</v>
      </c>
      <c r="I28">
        <v>4</v>
      </c>
      <c r="J28" t="s">
        <v>31</v>
      </c>
      <c r="K28">
        <v>13</v>
      </c>
      <c r="L28">
        <v>1.5200000000000001E-3</v>
      </c>
      <c r="M28">
        <v>1.52</v>
      </c>
      <c r="N28">
        <v>3640.99583089721</v>
      </c>
      <c r="O28">
        <v>0.42571643561259598</v>
      </c>
      <c r="P28">
        <v>5.5343136629637497</v>
      </c>
      <c r="Q28">
        <v>3.6409958308972099</v>
      </c>
    </row>
    <row r="29" spans="1:17" x14ac:dyDescent="0.25">
      <c r="A29">
        <v>1</v>
      </c>
      <c r="B29" t="s">
        <v>79</v>
      </c>
      <c r="C29">
        <v>4.31294117721857</v>
      </c>
      <c r="D29">
        <v>0.69660000006357803</v>
      </c>
      <c r="E29" t="s">
        <v>12</v>
      </c>
      <c r="F29" t="s">
        <v>24</v>
      </c>
      <c r="G29">
        <v>3</v>
      </c>
      <c r="H29" t="s">
        <v>33</v>
      </c>
      <c r="I29">
        <v>1</v>
      </c>
      <c r="J29" t="s">
        <v>80</v>
      </c>
      <c r="K29">
        <v>15</v>
      </c>
      <c r="L29">
        <v>1.9E-3</v>
      </c>
      <c r="M29">
        <v>1.9</v>
      </c>
      <c r="N29">
        <v>7093.6532520042201</v>
      </c>
      <c r="O29">
        <v>0.89852941192053504</v>
      </c>
      <c r="P29">
        <v>13.477941178808001</v>
      </c>
      <c r="Q29">
        <v>7.0936532520042199</v>
      </c>
    </row>
    <row r="30" spans="1:17" x14ac:dyDescent="0.25">
      <c r="A30">
        <v>1</v>
      </c>
      <c r="B30" t="s">
        <v>81</v>
      </c>
      <c r="C30">
        <v>1.89058819471621</v>
      </c>
      <c r="D30">
        <v>0.49069999655087798</v>
      </c>
      <c r="E30" t="s">
        <v>12</v>
      </c>
      <c r="F30" t="s">
        <v>24</v>
      </c>
      <c r="G30">
        <v>5</v>
      </c>
      <c r="H30" t="s">
        <v>36</v>
      </c>
      <c r="I30">
        <v>3</v>
      </c>
      <c r="J30" t="s">
        <v>82</v>
      </c>
      <c r="K30">
        <v>12</v>
      </c>
      <c r="L30">
        <v>2.48E-3</v>
      </c>
      <c r="M30">
        <v>2.48</v>
      </c>
      <c r="N30">
        <v>2382.2935921323201</v>
      </c>
      <c r="O30">
        <v>0.49234067570734602</v>
      </c>
      <c r="P30">
        <v>5.90808810848816</v>
      </c>
      <c r="Q30">
        <v>2.3822935921323198</v>
      </c>
    </row>
    <row r="31" spans="1:17" x14ac:dyDescent="0.25">
      <c r="A31">
        <v>1</v>
      </c>
      <c r="B31" t="s">
        <v>83</v>
      </c>
      <c r="C31">
        <v>1.4266666618048001</v>
      </c>
      <c r="D31">
        <v>0.451266666253408</v>
      </c>
      <c r="E31" t="s">
        <v>12</v>
      </c>
      <c r="F31" t="s">
        <v>24</v>
      </c>
      <c r="G31">
        <v>5</v>
      </c>
      <c r="H31" t="s">
        <v>36</v>
      </c>
      <c r="I31">
        <v>4</v>
      </c>
      <c r="J31" t="s">
        <v>84</v>
      </c>
      <c r="K31">
        <v>5</v>
      </c>
      <c r="L31">
        <v>9.7000000000000005E-4</v>
      </c>
      <c r="M31">
        <v>0.97</v>
      </c>
      <c r="N31">
        <v>4596.2199156082397</v>
      </c>
      <c r="O31">
        <v>0.89166666362799796</v>
      </c>
      <c r="P31">
        <v>4.4583333181399896</v>
      </c>
      <c r="Q31">
        <v>4.5962199156082404</v>
      </c>
    </row>
    <row r="32" spans="1:17" x14ac:dyDescent="0.25">
      <c r="A32">
        <v>1</v>
      </c>
      <c r="B32" t="s">
        <v>85</v>
      </c>
      <c r="C32">
        <v>4.2368627436020798</v>
      </c>
      <c r="D32">
        <v>0.69013333320617698</v>
      </c>
      <c r="E32" t="s">
        <v>12</v>
      </c>
      <c r="F32" t="s">
        <v>39</v>
      </c>
      <c r="G32">
        <v>1</v>
      </c>
      <c r="H32" t="s">
        <v>40</v>
      </c>
      <c r="I32">
        <v>3</v>
      </c>
      <c r="J32" t="s">
        <v>86</v>
      </c>
      <c r="K32">
        <v>25.57</v>
      </c>
      <c r="L32">
        <v>3.2200000000000002E-3</v>
      </c>
      <c r="M32">
        <v>3.22</v>
      </c>
      <c r="N32">
        <v>4111.8621347069902</v>
      </c>
      <c r="O32">
        <v>0.51780195830099696</v>
      </c>
      <c r="P32">
        <v>13.240196073756501</v>
      </c>
      <c r="Q32">
        <v>4.1118621347069899</v>
      </c>
    </row>
    <row r="33" spans="1:17" x14ac:dyDescent="0.25">
      <c r="A33">
        <v>1</v>
      </c>
      <c r="B33" t="s">
        <v>87</v>
      </c>
      <c r="C33">
        <v>2.8882354287540202</v>
      </c>
      <c r="D33">
        <v>0.57550001144409202</v>
      </c>
      <c r="E33" t="s">
        <v>12</v>
      </c>
      <c r="F33" t="s">
        <v>39</v>
      </c>
      <c r="G33">
        <v>1</v>
      </c>
      <c r="H33" t="s">
        <v>40</v>
      </c>
      <c r="I33">
        <v>4</v>
      </c>
      <c r="J33" t="s">
        <v>88</v>
      </c>
      <c r="K33">
        <v>21.39</v>
      </c>
      <c r="L33">
        <v>2.8300000000000001E-3</v>
      </c>
      <c r="M33">
        <v>2.83</v>
      </c>
      <c r="N33">
        <v>3189.3059063096498</v>
      </c>
      <c r="O33">
        <v>0.42196052897878999</v>
      </c>
      <c r="P33">
        <v>9.0257357148563102</v>
      </c>
      <c r="Q33">
        <v>3.1893059063096501</v>
      </c>
    </row>
    <row r="34" spans="1:17" x14ac:dyDescent="0.25">
      <c r="A34">
        <v>1</v>
      </c>
      <c r="B34" t="s">
        <v>89</v>
      </c>
      <c r="C34">
        <v>0.49803915210798699</v>
      </c>
      <c r="D34">
        <v>0.372333327929179</v>
      </c>
      <c r="E34" t="s">
        <v>12</v>
      </c>
      <c r="F34" t="s">
        <v>39</v>
      </c>
      <c r="G34">
        <v>2</v>
      </c>
      <c r="H34" t="s">
        <v>45</v>
      </c>
      <c r="I34">
        <v>3</v>
      </c>
      <c r="J34" t="s">
        <v>90</v>
      </c>
      <c r="K34">
        <v>7.11</v>
      </c>
      <c r="L34">
        <v>1.99E-3</v>
      </c>
      <c r="M34">
        <v>1.99</v>
      </c>
      <c r="N34">
        <v>782.09665846103405</v>
      </c>
      <c r="O34">
        <v>0.21889906474507101</v>
      </c>
      <c r="P34">
        <v>1.55637235033746</v>
      </c>
      <c r="Q34">
        <v>0.78209665846103404</v>
      </c>
    </row>
    <row r="35" spans="1:17" x14ac:dyDescent="0.25">
      <c r="A35">
        <v>1</v>
      </c>
      <c r="B35" t="s">
        <v>91</v>
      </c>
      <c r="C35">
        <v>1.1407842028374799</v>
      </c>
      <c r="D35">
        <v>0.42696665724118499</v>
      </c>
      <c r="E35" t="s">
        <v>12</v>
      </c>
      <c r="F35" t="s">
        <v>39</v>
      </c>
      <c r="G35">
        <v>2</v>
      </c>
      <c r="H35" t="s">
        <v>45</v>
      </c>
      <c r="I35">
        <v>4</v>
      </c>
      <c r="J35" t="s">
        <v>92</v>
      </c>
      <c r="K35">
        <v>10.06</v>
      </c>
      <c r="L35">
        <v>1.4400000000000001E-3</v>
      </c>
      <c r="M35">
        <v>1.44</v>
      </c>
      <c r="N35">
        <f>P35/L35</f>
        <v>2475.6601624077152</v>
      </c>
      <c r="O35">
        <v>0.35436885028500098</v>
      </c>
      <c r="P35">
        <v>3.56495063386711</v>
      </c>
      <c r="Q35">
        <f>P35/M35</f>
        <v>2.4756601624077152</v>
      </c>
    </row>
    <row r="36" spans="1:17" x14ac:dyDescent="0.25">
      <c r="A36">
        <v>1</v>
      </c>
      <c r="B36" t="s">
        <v>93</v>
      </c>
      <c r="C36">
        <v>0.37098039832769603</v>
      </c>
      <c r="D36">
        <v>0.36153333385785402</v>
      </c>
      <c r="E36" t="s">
        <v>12</v>
      </c>
      <c r="F36" t="s">
        <v>39</v>
      </c>
      <c r="G36">
        <v>4</v>
      </c>
      <c r="H36" t="s">
        <v>50</v>
      </c>
      <c r="I36">
        <v>3</v>
      </c>
      <c r="J36" t="s">
        <v>94</v>
      </c>
      <c r="K36">
        <v>4.34</v>
      </c>
      <c r="L36">
        <v>1.48E-3</v>
      </c>
      <c r="M36">
        <v>1.48</v>
      </c>
      <c r="N36">
        <v>783.32009782030502</v>
      </c>
      <c r="O36">
        <v>0.26712298266683199</v>
      </c>
      <c r="P36">
        <v>1.15931374477405</v>
      </c>
      <c r="Q36">
        <v>0.78332009782030498</v>
      </c>
    </row>
    <row r="37" spans="1:17" x14ac:dyDescent="0.25">
      <c r="A37">
        <v>1</v>
      </c>
      <c r="B37" t="s">
        <v>95</v>
      </c>
      <c r="C37">
        <v>1.15333331799975</v>
      </c>
      <c r="D37">
        <v>0.42803333202997801</v>
      </c>
      <c r="E37" t="s">
        <v>12</v>
      </c>
      <c r="F37" t="s">
        <v>39</v>
      </c>
      <c r="G37">
        <v>4</v>
      </c>
      <c r="H37" t="s">
        <v>50</v>
      </c>
      <c r="I37">
        <v>4</v>
      </c>
      <c r="J37" t="s">
        <v>96</v>
      </c>
      <c r="K37">
        <v>6.91</v>
      </c>
      <c r="L37">
        <v>1.8400000000000001E-3</v>
      </c>
      <c r="M37">
        <v>1.84</v>
      </c>
      <c r="N37">
        <v>1958.7862058419601</v>
      </c>
      <c r="O37">
        <v>0.52158706494199802</v>
      </c>
      <c r="P37">
        <v>3.6041666187492098</v>
      </c>
      <c r="Q37">
        <v>1.9587862058419601</v>
      </c>
    </row>
    <row r="38" spans="1:17" x14ac:dyDescent="0.25">
      <c r="A38">
        <v>1</v>
      </c>
      <c r="B38" t="s">
        <v>97</v>
      </c>
      <c r="C38">
        <v>0.78784312921411803</v>
      </c>
      <c r="D38">
        <v>0.39696666598320002</v>
      </c>
      <c r="E38" t="s">
        <v>12</v>
      </c>
      <c r="F38" t="s">
        <v>39</v>
      </c>
      <c r="G38">
        <v>6</v>
      </c>
      <c r="H38" t="s">
        <v>55</v>
      </c>
      <c r="I38">
        <v>3</v>
      </c>
      <c r="J38" t="s">
        <v>98</v>
      </c>
      <c r="K38">
        <v>4.43</v>
      </c>
      <c r="L38">
        <v>1.1900000000000001E-3</v>
      </c>
      <c r="M38">
        <v>1.19</v>
      </c>
      <c r="N38">
        <v>2068.9157804992601</v>
      </c>
      <c r="O38">
        <v>0.55575841507767898</v>
      </c>
      <c r="P38">
        <v>2.46200977879412</v>
      </c>
      <c r="Q38">
        <v>2.0689157804992599</v>
      </c>
    </row>
    <row r="39" spans="1:17" x14ac:dyDescent="0.25">
      <c r="A39">
        <v>1</v>
      </c>
      <c r="B39" t="s">
        <v>99</v>
      </c>
      <c r="C39">
        <v>2.2298039548537298</v>
      </c>
      <c r="D39">
        <v>0.51953333616256703</v>
      </c>
      <c r="E39" t="s">
        <v>12</v>
      </c>
      <c r="F39" t="s">
        <v>39</v>
      </c>
      <c r="G39">
        <v>6</v>
      </c>
      <c r="H39" t="s">
        <v>55</v>
      </c>
      <c r="I39">
        <v>4</v>
      </c>
      <c r="J39" t="s">
        <v>100</v>
      </c>
      <c r="K39">
        <v>9.1300000000000008</v>
      </c>
      <c r="L39">
        <v>1.3699999999999999E-3</v>
      </c>
      <c r="M39">
        <v>1.37</v>
      </c>
      <c r="N39">
        <v>5086.2316488451897</v>
      </c>
      <c r="O39">
        <v>0.76321329232397705</v>
      </c>
      <c r="P39">
        <v>6.9681373589179101</v>
      </c>
      <c r="Q39">
        <v>5.0862316488451897</v>
      </c>
    </row>
    <row r="40" spans="1:17" x14ac:dyDescent="0.25">
      <c r="A40">
        <v>1</v>
      </c>
      <c r="B40" t="s">
        <v>101</v>
      </c>
      <c r="C40">
        <v>4.2652046192459201</v>
      </c>
      <c r="D40">
        <v>0.80623332659403502</v>
      </c>
      <c r="E40" t="s">
        <v>12</v>
      </c>
      <c r="F40" t="s">
        <v>24</v>
      </c>
      <c r="G40">
        <v>3</v>
      </c>
      <c r="H40" t="s">
        <v>33</v>
      </c>
      <c r="I40">
        <v>4</v>
      </c>
      <c r="J40" t="s">
        <v>102</v>
      </c>
      <c r="K40">
        <v>24</v>
      </c>
      <c r="L40">
        <v>3.16E-3</v>
      </c>
      <c r="M40">
        <v>3.16</v>
      </c>
      <c r="N40">
        <v>4217.9634288428797</v>
      </c>
      <c r="O40">
        <v>0.55536518479764596</v>
      </c>
      <c r="P40">
        <v>13.3287644351435</v>
      </c>
      <c r="Q40">
        <v>4.2179634288428796</v>
      </c>
    </row>
    <row r="41" spans="1:17" x14ac:dyDescent="0.25">
      <c r="A41">
        <v>1</v>
      </c>
      <c r="B41" t="s">
        <v>103</v>
      </c>
      <c r="C41">
        <v>1.2467836671405399</v>
      </c>
      <c r="D41">
        <v>0.46213333805402101</v>
      </c>
      <c r="E41" t="s">
        <v>12</v>
      </c>
      <c r="F41" t="s">
        <v>24</v>
      </c>
      <c r="G41">
        <v>4</v>
      </c>
      <c r="H41" t="s">
        <v>104</v>
      </c>
      <c r="I41">
        <v>1</v>
      </c>
      <c r="J41" t="s">
        <v>31</v>
      </c>
      <c r="K41">
        <v>13</v>
      </c>
      <c r="L41">
        <v>1.49E-3</v>
      </c>
      <c r="M41">
        <v>1.49</v>
      </c>
      <c r="N41">
        <v>2614.8986307477699</v>
      </c>
      <c r="O41">
        <v>0.29970761229339798</v>
      </c>
      <c r="P41">
        <v>3.8961989598141802</v>
      </c>
      <c r="Q41">
        <v>2.6148986307477702</v>
      </c>
    </row>
    <row r="42" spans="1:17" x14ac:dyDescent="0.25">
      <c r="A42">
        <v>1</v>
      </c>
      <c r="B42" t="s">
        <v>105</v>
      </c>
      <c r="C42">
        <v>1.15497072886305</v>
      </c>
      <c r="D42">
        <v>0.451666663090388</v>
      </c>
      <c r="E42" t="s">
        <v>12</v>
      </c>
      <c r="F42" t="s">
        <v>24</v>
      </c>
      <c r="G42">
        <v>4</v>
      </c>
      <c r="H42" t="s">
        <v>104</v>
      </c>
      <c r="I42">
        <v>2</v>
      </c>
      <c r="J42" t="s">
        <v>106</v>
      </c>
      <c r="K42">
        <v>8</v>
      </c>
      <c r="L42">
        <v>1.3699999999999999E-3</v>
      </c>
      <c r="M42">
        <v>1.37</v>
      </c>
      <c r="N42">
        <v>2634.5135238664502</v>
      </c>
      <c r="O42">
        <v>0.45116044096212998</v>
      </c>
      <c r="P42">
        <v>3.6092835276970399</v>
      </c>
      <c r="Q42">
        <v>2.6345135238664499</v>
      </c>
    </row>
    <row r="43" spans="1:17" x14ac:dyDescent="0.25">
      <c r="A43">
        <v>1</v>
      </c>
      <c r="B43" t="s">
        <v>107</v>
      </c>
      <c r="C43">
        <v>2.1081871177717999</v>
      </c>
      <c r="D43">
        <v>0.56033333142598496</v>
      </c>
      <c r="E43" t="s">
        <v>12</v>
      </c>
      <c r="F43" t="s">
        <v>24</v>
      </c>
      <c r="G43">
        <v>4</v>
      </c>
      <c r="H43" t="s">
        <v>104</v>
      </c>
      <c r="I43">
        <v>3</v>
      </c>
      <c r="J43" t="s">
        <v>108</v>
      </c>
      <c r="K43">
        <v>9</v>
      </c>
      <c r="L43">
        <v>1.2099999999999999E-3</v>
      </c>
      <c r="M43">
        <v>1.21</v>
      </c>
      <c r="N43">
        <v>5444.6981347412102</v>
      </c>
      <c r="O43">
        <v>0.73200941589298496</v>
      </c>
      <c r="P43">
        <v>6.5880847430368599</v>
      </c>
      <c r="Q43">
        <v>5.44469813474121</v>
      </c>
    </row>
    <row r="44" spans="1:17" x14ac:dyDescent="0.25">
      <c r="A44">
        <v>1</v>
      </c>
      <c r="B44" t="s">
        <v>109</v>
      </c>
      <c r="C44">
        <v>2.7011695033625598</v>
      </c>
      <c r="D44">
        <v>0.62793332338333097</v>
      </c>
      <c r="E44" t="s">
        <v>12</v>
      </c>
      <c r="F44" t="s">
        <v>24</v>
      </c>
      <c r="G44">
        <v>6</v>
      </c>
      <c r="H44" t="s">
        <v>110</v>
      </c>
      <c r="I44">
        <v>1</v>
      </c>
      <c r="J44" t="s">
        <v>111</v>
      </c>
      <c r="K44">
        <v>11</v>
      </c>
      <c r="L44">
        <v>1.8E-3</v>
      </c>
      <c r="M44">
        <v>1.8</v>
      </c>
      <c r="N44">
        <v>4689.5303877822098</v>
      </c>
      <c r="O44">
        <v>0.76737769981890802</v>
      </c>
      <c r="P44">
        <v>8.4411546980079795</v>
      </c>
      <c r="Q44">
        <v>4.6895303877822103</v>
      </c>
    </row>
    <row r="45" spans="1:17" x14ac:dyDescent="0.25">
      <c r="A45">
        <v>1</v>
      </c>
      <c r="B45" t="s">
        <v>112</v>
      </c>
      <c r="C45">
        <v>2.58362565821374</v>
      </c>
      <c r="D45">
        <v>0.61453332503636704</v>
      </c>
      <c r="E45" t="s">
        <v>12</v>
      </c>
      <c r="F45" t="s">
        <v>24</v>
      </c>
      <c r="G45">
        <v>6</v>
      </c>
      <c r="H45" t="s">
        <v>110</v>
      </c>
      <c r="I45">
        <v>2</v>
      </c>
      <c r="J45" t="s">
        <v>108</v>
      </c>
      <c r="K45">
        <v>9</v>
      </c>
      <c r="L45">
        <v>2.0799999999999998E-3</v>
      </c>
      <c r="M45">
        <v>2.08</v>
      </c>
      <c r="N45">
        <v>3881.6491259220902</v>
      </c>
      <c r="O45">
        <v>0.89709224243532804</v>
      </c>
      <c r="P45">
        <v>8.0738301819179501</v>
      </c>
      <c r="Q45">
        <v>3.88164912592209</v>
      </c>
    </row>
    <row r="46" spans="1:17" x14ac:dyDescent="0.25">
      <c r="A46">
        <v>1</v>
      </c>
      <c r="B46" t="s">
        <v>113</v>
      </c>
      <c r="C46">
        <v>3.9997077545924502</v>
      </c>
      <c r="D46">
        <v>0.77596668402353897</v>
      </c>
      <c r="E46" t="s">
        <v>12</v>
      </c>
      <c r="F46" t="s">
        <v>24</v>
      </c>
      <c r="G46">
        <v>6</v>
      </c>
      <c r="H46" t="s">
        <v>110</v>
      </c>
      <c r="I46">
        <v>3</v>
      </c>
      <c r="J46" t="s">
        <v>114</v>
      </c>
      <c r="K46">
        <v>10</v>
      </c>
      <c r="L46">
        <v>1.6999999999999999E-3</v>
      </c>
      <c r="M46">
        <v>1.7</v>
      </c>
      <c r="N46">
        <v>7352.40396064788</v>
      </c>
      <c r="O46">
        <v>1.2499086733101401</v>
      </c>
      <c r="P46">
        <v>12.4990867331014</v>
      </c>
      <c r="Q46">
        <v>7.3524039606478802</v>
      </c>
    </row>
    <row r="47" spans="1:17" x14ac:dyDescent="0.25">
      <c r="A47">
        <v>1</v>
      </c>
      <c r="B47" t="s">
        <v>115</v>
      </c>
      <c r="C47">
        <v>0.94064331891243902</v>
      </c>
      <c r="D47">
        <v>0.42723333835601801</v>
      </c>
      <c r="E47" t="s">
        <v>12</v>
      </c>
      <c r="F47" t="s">
        <v>39</v>
      </c>
      <c r="G47">
        <v>1</v>
      </c>
      <c r="H47" t="s">
        <v>40</v>
      </c>
      <c r="I47">
        <v>5</v>
      </c>
      <c r="J47" t="s">
        <v>114</v>
      </c>
      <c r="K47">
        <v>10</v>
      </c>
      <c r="L47">
        <v>2.0500000000000002E-3</v>
      </c>
      <c r="M47">
        <v>2.0499999999999998</v>
      </c>
      <c r="N47">
        <f>P47/L47</f>
        <v>1433.9074983421315</v>
      </c>
      <c r="O47">
        <v>0.29395103716013699</v>
      </c>
      <c r="P47">
        <v>2.93951037160137</v>
      </c>
      <c r="Q47">
        <f>P47/M47</f>
        <v>1.4339074983421318</v>
      </c>
    </row>
    <row r="48" spans="1:17" x14ac:dyDescent="0.25">
      <c r="A48">
        <v>1</v>
      </c>
      <c r="B48" t="s">
        <v>116</v>
      </c>
      <c r="C48">
        <v>1.08538012755545</v>
      </c>
      <c r="D48">
        <v>0.44373333454132102</v>
      </c>
      <c r="E48" t="s">
        <v>12</v>
      </c>
      <c r="F48" t="s">
        <v>39</v>
      </c>
      <c r="G48">
        <v>2</v>
      </c>
      <c r="H48" t="s">
        <v>45</v>
      </c>
      <c r="I48">
        <v>5</v>
      </c>
      <c r="J48" t="s">
        <v>82</v>
      </c>
      <c r="K48">
        <v>12</v>
      </c>
      <c r="L48">
        <v>2.49E-3</v>
      </c>
      <c r="M48">
        <v>2.4900000000000002</v>
      </c>
      <c r="N48">
        <v>1362.17385486376</v>
      </c>
      <c r="O48">
        <v>0.28265107488423102</v>
      </c>
      <c r="P48">
        <v>3.3918128986107701</v>
      </c>
      <c r="Q48">
        <v>1.3621738548637601</v>
      </c>
    </row>
    <row r="49" spans="1:17" x14ac:dyDescent="0.25">
      <c r="A49">
        <v>1</v>
      </c>
      <c r="B49" t="s">
        <v>117</v>
      </c>
      <c r="C49">
        <v>3.7070175778796099</v>
      </c>
      <c r="D49">
        <v>0.74260000387827596</v>
      </c>
      <c r="E49" t="s">
        <v>12</v>
      </c>
      <c r="F49" t="s">
        <v>39</v>
      </c>
      <c r="G49">
        <v>3</v>
      </c>
      <c r="H49" t="s">
        <v>118</v>
      </c>
      <c r="I49">
        <v>1</v>
      </c>
      <c r="J49" t="s">
        <v>119</v>
      </c>
      <c r="K49">
        <v>21.19</v>
      </c>
      <c r="L49">
        <v>3.82E-3</v>
      </c>
      <c r="M49">
        <v>3.82</v>
      </c>
      <c r="N49">
        <v>3032.5732803334499</v>
      </c>
      <c r="O49">
        <v>0.54669324827153298</v>
      </c>
      <c r="P49">
        <v>11.584429930873799</v>
      </c>
      <c r="Q49">
        <v>3.03257328033345</v>
      </c>
    </row>
    <row r="50" spans="1:17" x14ac:dyDescent="0.25">
      <c r="A50">
        <v>1</v>
      </c>
      <c r="B50" t="s">
        <v>120</v>
      </c>
      <c r="C50">
        <v>0.785087744394938</v>
      </c>
      <c r="D50">
        <v>0.409500002861023</v>
      </c>
      <c r="E50" t="s">
        <v>12</v>
      </c>
      <c r="F50" t="s">
        <v>39</v>
      </c>
      <c r="G50">
        <v>3</v>
      </c>
      <c r="H50" t="s">
        <v>118</v>
      </c>
      <c r="I50">
        <v>2</v>
      </c>
      <c r="J50" t="s">
        <v>121</v>
      </c>
      <c r="K50">
        <v>8.3699999999999992</v>
      </c>
      <c r="L50">
        <v>2.1700000000000001E-3</v>
      </c>
      <c r="M50">
        <v>2.17</v>
      </c>
      <c r="N50">
        <v>1130.59871024617</v>
      </c>
      <c r="O50">
        <v>0.29311818413789498</v>
      </c>
      <c r="P50">
        <v>2.4533992012341801</v>
      </c>
      <c r="Q50">
        <v>1.1305987102461701</v>
      </c>
    </row>
    <row r="51" spans="1:17" x14ac:dyDescent="0.25">
      <c r="A51">
        <v>1</v>
      </c>
      <c r="B51" t="s">
        <v>122</v>
      </c>
      <c r="C51">
        <v>2.5549706380966799</v>
      </c>
      <c r="D51">
        <v>0.61126665274302205</v>
      </c>
      <c r="E51" t="s">
        <v>12</v>
      </c>
      <c r="F51" t="s">
        <v>39</v>
      </c>
      <c r="G51">
        <v>5</v>
      </c>
      <c r="H51" t="s">
        <v>123</v>
      </c>
      <c r="I51">
        <v>1</v>
      </c>
      <c r="J51" t="s">
        <v>124</v>
      </c>
      <c r="K51">
        <v>16.34</v>
      </c>
      <c r="L51">
        <v>1.8500000000000001E-3</v>
      </c>
      <c r="M51">
        <v>1.85</v>
      </c>
      <c r="N51">
        <v>4315.8287805687196</v>
      </c>
      <c r="O51">
        <v>0.48863422546218699</v>
      </c>
      <c r="P51">
        <v>7.9842832440521301</v>
      </c>
      <c r="Q51">
        <v>4.3158287805687197</v>
      </c>
    </row>
    <row r="52" spans="1:17" x14ac:dyDescent="0.25">
      <c r="A52">
        <v>1</v>
      </c>
      <c r="B52" t="s">
        <v>125</v>
      </c>
      <c r="C52">
        <v>2.4339181359051301</v>
      </c>
      <c r="D52">
        <v>0.597466667493184</v>
      </c>
      <c r="E52" t="s">
        <v>12</v>
      </c>
      <c r="F52" t="s">
        <v>39</v>
      </c>
      <c r="G52">
        <v>5</v>
      </c>
      <c r="H52" t="s">
        <v>123</v>
      </c>
      <c r="I52">
        <v>2</v>
      </c>
      <c r="J52" t="s">
        <v>126</v>
      </c>
      <c r="K52">
        <v>12.95</v>
      </c>
      <c r="L52">
        <v>1.7099999999999999E-3</v>
      </c>
      <c r="M52">
        <v>1.71</v>
      </c>
      <c r="N52">
        <v>4447.9498097681399</v>
      </c>
      <c r="O52">
        <v>0.58733545750606297</v>
      </c>
      <c r="P52">
        <v>7.60599417470352</v>
      </c>
      <c r="Q52">
        <v>4.44794980976814</v>
      </c>
    </row>
    <row r="53" spans="1:17" x14ac:dyDescent="0.25">
      <c r="A53">
        <v>1</v>
      </c>
      <c r="B53" t="s">
        <v>127</v>
      </c>
      <c r="C53">
        <v>3.42539670516034</v>
      </c>
      <c r="D53">
        <v>0.803533315658569</v>
      </c>
      <c r="E53" t="s">
        <v>12</v>
      </c>
      <c r="F53" t="s">
        <v>13</v>
      </c>
      <c r="G53">
        <v>2</v>
      </c>
      <c r="H53" t="s">
        <v>62</v>
      </c>
      <c r="I53">
        <v>2</v>
      </c>
      <c r="J53" t="s">
        <v>128</v>
      </c>
      <c r="K53">
        <v>21.45</v>
      </c>
      <c r="L53">
        <v>2.4599999999999999E-3</v>
      </c>
      <c r="M53">
        <v>2.46</v>
      </c>
      <c r="N53">
        <v>4351.3677657016497</v>
      </c>
      <c r="O53">
        <v>0.49903798152102802</v>
      </c>
      <c r="P53">
        <v>10.704364703626</v>
      </c>
      <c r="Q53">
        <v>4.3513677657016503</v>
      </c>
    </row>
    <row r="54" spans="1:17" x14ac:dyDescent="0.25">
      <c r="A54">
        <v>1</v>
      </c>
      <c r="B54" t="s">
        <v>129</v>
      </c>
      <c r="C54">
        <v>4.0759638323535201</v>
      </c>
      <c r="D54">
        <v>0.89916668335596694</v>
      </c>
      <c r="E54" t="s">
        <v>12</v>
      </c>
      <c r="F54" t="s">
        <v>13</v>
      </c>
      <c r="G54">
        <v>2</v>
      </c>
      <c r="H54" t="s">
        <v>62</v>
      </c>
      <c r="I54">
        <v>3</v>
      </c>
      <c r="J54" t="s">
        <v>130</v>
      </c>
      <c r="K54">
        <v>20.81</v>
      </c>
      <c r="L54">
        <v>2.98E-3</v>
      </c>
      <c r="M54">
        <v>2.98</v>
      </c>
      <c r="N54">
        <v>4274.2909315787701</v>
      </c>
      <c r="O54">
        <v>0.61208010457014606</v>
      </c>
      <c r="P54">
        <v>12.7373869761047</v>
      </c>
      <c r="Q54">
        <v>4.2742909315787703</v>
      </c>
    </row>
    <row r="55" spans="1:17" x14ac:dyDescent="0.25">
      <c r="A55">
        <v>1</v>
      </c>
      <c r="B55" t="s">
        <v>131</v>
      </c>
      <c r="C55">
        <v>2.2337868640752601</v>
      </c>
      <c r="D55">
        <v>0.62836666901906302</v>
      </c>
      <c r="E55" t="s">
        <v>12</v>
      </c>
      <c r="F55" t="s">
        <v>13</v>
      </c>
      <c r="G55">
        <v>2</v>
      </c>
      <c r="H55" t="s">
        <v>62</v>
      </c>
      <c r="I55">
        <v>4</v>
      </c>
      <c r="J55" t="s">
        <v>126</v>
      </c>
      <c r="K55">
        <v>12.95</v>
      </c>
      <c r="L55">
        <v>1.5E-3</v>
      </c>
      <c r="M55">
        <v>1.5</v>
      </c>
      <c r="N55">
        <v>4653.7226334901297</v>
      </c>
      <c r="O55">
        <v>0.53904123167839302</v>
      </c>
      <c r="P55">
        <v>6.9805839502351903</v>
      </c>
      <c r="Q55">
        <v>4.6537226334901298</v>
      </c>
    </row>
    <row r="56" spans="1:17" x14ac:dyDescent="0.25">
      <c r="A56">
        <v>1</v>
      </c>
      <c r="B56" t="s">
        <v>132</v>
      </c>
      <c r="C56">
        <v>1.52834467336434</v>
      </c>
      <c r="D56">
        <v>0.52466666698455799</v>
      </c>
      <c r="E56" t="s">
        <v>12</v>
      </c>
      <c r="F56" t="s">
        <v>13</v>
      </c>
      <c r="G56">
        <v>2</v>
      </c>
      <c r="H56" t="s">
        <v>62</v>
      </c>
      <c r="I56">
        <v>5</v>
      </c>
      <c r="J56" t="s">
        <v>133</v>
      </c>
      <c r="K56">
        <v>4.01</v>
      </c>
      <c r="L56">
        <v>1.57E-3</v>
      </c>
      <c r="M56">
        <v>1.57</v>
      </c>
      <c r="N56">
        <v>3042.0873275564099</v>
      </c>
      <c r="O56">
        <v>1.19104167188618</v>
      </c>
      <c r="P56">
        <v>4.7760771042635701</v>
      </c>
      <c r="Q56">
        <v>3.04208732755641</v>
      </c>
    </row>
    <row r="57" spans="1:17" x14ac:dyDescent="0.25">
      <c r="A57">
        <v>1</v>
      </c>
      <c r="B57" t="s">
        <v>134</v>
      </c>
      <c r="C57">
        <v>2.6362810816083599</v>
      </c>
      <c r="D57">
        <v>0.687533318996429</v>
      </c>
      <c r="E57" t="s">
        <v>12</v>
      </c>
      <c r="F57" t="s">
        <v>13</v>
      </c>
      <c r="G57">
        <v>5</v>
      </c>
      <c r="H57" t="s">
        <v>135</v>
      </c>
      <c r="I57">
        <v>1</v>
      </c>
      <c r="J57" t="s">
        <v>136</v>
      </c>
      <c r="K57">
        <v>11.8</v>
      </c>
      <c r="L57">
        <v>2.8E-3</v>
      </c>
      <c r="M57">
        <v>2.8</v>
      </c>
      <c r="N57">
        <v>2942.27799286648</v>
      </c>
      <c r="O57">
        <v>0.69816765932424896</v>
      </c>
      <c r="P57">
        <v>8.2383783800261394</v>
      </c>
      <c r="Q57">
        <v>2.94227799286648</v>
      </c>
    </row>
    <row r="58" spans="1:17" x14ac:dyDescent="0.25">
      <c r="A58">
        <v>1</v>
      </c>
      <c r="B58" t="s">
        <v>137</v>
      </c>
      <c r="C58">
        <v>1.6176871701973601</v>
      </c>
      <c r="D58">
        <v>0.53780001401901201</v>
      </c>
      <c r="E58" t="s">
        <v>12</v>
      </c>
      <c r="F58" t="s">
        <v>13</v>
      </c>
      <c r="G58">
        <v>5</v>
      </c>
      <c r="H58" t="s">
        <v>135</v>
      </c>
      <c r="I58">
        <v>3</v>
      </c>
      <c r="J58" t="s">
        <v>138</v>
      </c>
      <c r="K58">
        <v>6.88</v>
      </c>
      <c r="L58">
        <v>1.5499999999999999E-3</v>
      </c>
      <c r="M58">
        <v>1.55</v>
      </c>
      <c r="N58">
        <f>P58/L58</f>
        <v>3261.4660689462971</v>
      </c>
      <c r="O58">
        <v>0.73477796611435497</v>
      </c>
      <c r="P58">
        <v>5.0552724068667603</v>
      </c>
      <c r="Q58">
        <f>P58/M58</f>
        <v>3.2614660689462966</v>
      </c>
    </row>
    <row r="59" spans="1:17" x14ac:dyDescent="0.25">
      <c r="A59">
        <v>1</v>
      </c>
      <c r="B59" t="s">
        <v>139</v>
      </c>
      <c r="C59">
        <v>3.2421768928060701</v>
      </c>
      <c r="D59">
        <v>0.77660000324249301</v>
      </c>
      <c r="E59" t="s">
        <v>12</v>
      </c>
      <c r="F59" t="s">
        <v>13</v>
      </c>
      <c r="G59">
        <v>5</v>
      </c>
      <c r="H59" t="s">
        <v>135</v>
      </c>
      <c r="I59">
        <v>4</v>
      </c>
      <c r="J59" t="s">
        <v>140</v>
      </c>
      <c r="K59">
        <v>13.42</v>
      </c>
      <c r="L59">
        <v>3.4499999999999999E-3</v>
      </c>
      <c r="M59">
        <v>3.45</v>
      </c>
      <c r="N59">
        <v>2936.7544318895598</v>
      </c>
      <c r="O59">
        <v>0.75497785320558697</v>
      </c>
      <c r="P59">
        <v>10.131802790019</v>
      </c>
      <c r="Q59">
        <v>2.9367544318895602</v>
      </c>
    </row>
    <row r="60" spans="1:17" x14ac:dyDescent="0.25">
      <c r="A60">
        <v>1</v>
      </c>
      <c r="B60" t="s">
        <v>141</v>
      </c>
      <c r="C60">
        <v>1.95396819622879</v>
      </c>
      <c r="D60">
        <v>0.58723332484563195</v>
      </c>
      <c r="E60" t="s">
        <v>12</v>
      </c>
      <c r="F60" t="s">
        <v>13</v>
      </c>
      <c r="G60">
        <v>5</v>
      </c>
      <c r="H60" t="s">
        <v>135</v>
      </c>
      <c r="I60">
        <v>5</v>
      </c>
      <c r="J60" t="s">
        <v>142</v>
      </c>
      <c r="K60">
        <v>13.06</v>
      </c>
      <c r="L60">
        <v>2.1700000000000001E-3</v>
      </c>
      <c r="M60">
        <v>2.17</v>
      </c>
      <c r="N60">
        <v>2813.8942918041298</v>
      </c>
      <c r="O60">
        <v>0.46754598876071701</v>
      </c>
      <c r="P60">
        <v>6.1061506132149601</v>
      </c>
      <c r="Q60">
        <v>2.8138942918041301</v>
      </c>
    </row>
    <row r="61" spans="1:17" x14ac:dyDescent="0.25">
      <c r="A61">
        <v>1</v>
      </c>
      <c r="B61" t="s">
        <v>143</v>
      </c>
      <c r="C61">
        <v>1.6736960735450801</v>
      </c>
      <c r="D61">
        <v>0.54603332281112704</v>
      </c>
      <c r="E61" t="s">
        <v>12</v>
      </c>
      <c r="F61" t="s">
        <v>24</v>
      </c>
      <c r="G61">
        <v>1</v>
      </c>
      <c r="H61" t="s">
        <v>25</v>
      </c>
      <c r="I61">
        <v>5</v>
      </c>
      <c r="J61" t="s">
        <v>82</v>
      </c>
      <c r="K61">
        <v>12</v>
      </c>
      <c r="L61">
        <v>1.23E-3</v>
      </c>
      <c r="M61">
        <v>1.23</v>
      </c>
      <c r="N61">
        <v>4252.2766096165697</v>
      </c>
      <c r="O61">
        <v>0.43585835248569799</v>
      </c>
      <c r="P61">
        <v>5.2303002298283703</v>
      </c>
      <c r="Q61">
        <v>4.2522766096165698</v>
      </c>
    </row>
    <row r="62" spans="1:17" x14ac:dyDescent="0.25">
      <c r="A62">
        <v>1</v>
      </c>
      <c r="B62" t="s">
        <v>144</v>
      </c>
      <c r="C62">
        <v>3.3657596224830302</v>
      </c>
      <c r="D62">
        <v>0.79476666450500499</v>
      </c>
      <c r="E62" t="s">
        <v>12</v>
      </c>
      <c r="F62" t="s">
        <v>24</v>
      </c>
      <c r="G62">
        <v>2</v>
      </c>
      <c r="H62" t="s">
        <v>30</v>
      </c>
      <c r="I62">
        <v>5</v>
      </c>
      <c r="J62" t="s">
        <v>145</v>
      </c>
      <c r="K62">
        <v>32</v>
      </c>
      <c r="L62">
        <v>4.9300000000000004E-3</v>
      </c>
      <c r="M62">
        <v>4.93</v>
      </c>
      <c r="N62">
        <v>2133.4683205394399</v>
      </c>
      <c r="O62">
        <v>0.32868746313310798</v>
      </c>
      <c r="P62">
        <v>10.5179988202595</v>
      </c>
      <c r="Q62">
        <v>2.13346832053944</v>
      </c>
    </row>
    <row r="63" spans="1:17" x14ac:dyDescent="0.25">
      <c r="A63">
        <v>1</v>
      </c>
      <c r="B63" t="s">
        <v>146</v>
      </c>
      <c r="C63">
        <v>2.12811783057492</v>
      </c>
      <c r="D63">
        <v>0.61283332109451305</v>
      </c>
      <c r="E63" t="s">
        <v>12</v>
      </c>
      <c r="F63" t="s">
        <v>24</v>
      </c>
      <c r="G63">
        <v>4</v>
      </c>
      <c r="H63" t="s">
        <v>104</v>
      </c>
      <c r="I63">
        <v>4</v>
      </c>
      <c r="J63" t="s">
        <v>147</v>
      </c>
      <c r="K63">
        <v>14</v>
      </c>
      <c r="L63">
        <v>1.9599999999999999E-3</v>
      </c>
      <c r="M63">
        <v>1.96</v>
      </c>
      <c r="N63">
        <v>3393.0450104829702</v>
      </c>
      <c r="O63">
        <v>0.47502630146761599</v>
      </c>
      <c r="P63">
        <v>6.6503682205466204</v>
      </c>
      <c r="Q63">
        <v>3.3930450104829699</v>
      </c>
    </row>
    <row r="64" spans="1:17" x14ac:dyDescent="0.25">
      <c r="A64">
        <v>1</v>
      </c>
      <c r="B64" t="s">
        <v>148</v>
      </c>
      <c r="C64">
        <v>3.97777781735202</v>
      </c>
      <c r="D64">
        <v>0.88473333915074703</v>
      </c>
      <c r="E64" t="s">
        <v>12</v>
      </c>
      <c r="F64" t="s">
        <v>24</v>
      </c>
      <c r="G64">
        <v>4</v>
      </c>
      <c r="H64" t="s">
        <v>104</v>
      </c>
      <c r="I64">
        <v>5</v>
      </c>
      <c r="J64" t="s">
        <v>26</v>
      </c>
      <c r="K64">
        <v>19</v>
      </c>
      <c r="L64">
        <v>2.82E-3</v>
      </c>
      <c r="M64">
        <v>2.82</v>
      </c>
      <c r="N64">
        <v>4407.9984678103001</v>
      </c>
      <c r="O64">
        <v>0.65423977259079202</v>
      </c>
      <c r="P64">
        <v>12.430555679225099</v>
      </c>
      <c r="Q64">
        <v>4.4079984678102999</v>
      </c>
    </row>
    <row r="65" spans="1:17" x14ac:dyDescent="0.25">
      <c r="A65">
        <v>1</v>
      </c>
      <c r="B65" t="s">
        <v>149</v>
      </c>
      <c r="C65">
        <v>2.3861679630755299</v>
      </c>
      <c r="D65">
        <v>0.65076669057210301</v>
      </c>
      <c r="E65" t="s">
        <v>12</v>
      </c>
      <c r="F65" t="s">
        <v>24</v>
      </c>
      <c r="G65">
        <v>6</v>
      </c>
      <c r="H65" t="s">
        <v>110</v>
      </c>
      <c r="I65">
        <v>5</v>
      </c>
      <c r="J65" t="s">
        <v>114</v>
      </c>
      <c r="K65">
        <v>10</v>
      </c>
      <c r="L65">
        <v>1.8E-3</v>
      </c>
      <c r="M65">
        <v>1.8</v>
      </c>
      <c r="N65">
        <v>4142.6527136728</v>
      </c>
      <c r="O65">
        <v>0.74567748846110304</v>
      </c>
      <c r="P65">
        <v>7.45677488461103</v>
      </c>
      <c r="Q65">
        <v>4.1426527136728</v>
      </c>
    </row>
    <row r="66" spans="1:17" x14ac:dyDescent="0.25">
      <c r="A66">
        <v>1</v>
      </c>
      <c r="B66" t="s">
        <v>150</v>
      </c>
      <c r="C66">
        <v>1.4337868376924301</v>
      </c>
      <c r="D66">
        <v>0.51076666514078795</v>
      </c>
      <c r="E66" t="s">
        <v>12</v>
      </c>
      <c r="F66" t="s">
        <v>39</v>
      </c>
      <c r="G66">
        <v>3</v>
      </c>
      <c r="H66" t="s">
        <v>118</v>
      </c>
      <c r="I66">
        <v>3</v>
      </c>
      <c r="J66" t="s">
        <v>151</v>
      </c>
      <c r="K66">
        <v>15.72</v>
      </c>
      <c r="L66">
        <v>3.15E-3</v>
      </c>
      <c r="M66">
        <v>3.15</v>
      </c>
      <c r="N66">
        <v>1422.40757707583</v>
      </c>
      <c r="O66">
        <v>0.28502441907053799</v>
      </c>
      <c r="P66">
        <v>4.4805838677888596</v>
      </c>
      <c r="Q66">
        <v>1.42240757707583</v>
      </c>
    </row>
    <row r="67" spans="1:17" x14ac:dyDescent="0.25">
      <c r="A67">
        <v>1</v>
      </c>
      <c r="B67" t="s">
        <v>152</v>
      </c>
      <c r="C67">
        <v>0.77891155165069004</v>
      </c>
      <c r="D67">
        <v>0.41449999809265098</v>
      </c>
      <c r="E67" t="s">
        <v>12</v>
      </c>
      <c r="F67" t="s">
        <v>39</v>
      </c>
      <c r="G67">
        <v>3</v>
      </c>
      <c r="H67" t="s">
        <v>118</v>
      </c>
      <c r="I67">
        <v>4</v>
      </c>
      <c r="J67" t="s">
        <v>153</v>
      </c>
      <c r="K67">
        <v>10.23</v>
      </c>
      <c r="L67">
        <v>2.7499999999999998E-3</v>
      </c>
      <c r="M67">
        <v>2.75</v>
      </c>
      <c r="N67">
        <v>885.12676323942003</v>
      </c>
      <c r="O67">
        <v>0.23793730194608101</v>
      </c>
      <c r="P67">
        <v>2.4340985989084101</v>
      </c>
      <c r="Q67">
        <v>0.88512676323941997</v>
      </c>
    </row>
    <row r="68" spans="1:17" x14ac:dyDescent="0.25">
      <c r="A68">
        <v>1</v>
      </c>
      <c r="B68" t="s">
        <v>154</v>
      </c>
      <c r="C68">
        <v>0.56122450871802798</v>
      </c>
      <c r="D68">
        <v>0.38250000278155</v>
      </c>
      <c r="E68" t="s">
        <v>12</v>
      </c>
      <c r="F68" t="s">
        <v>39</v>
      </c>
      <c r="G68">
        <v>3</v>
      </c>
      <c r="H68" t="s">
        <v>118</v>
      </c>
      <c r="I68">
        <v>5</v>
      </c>
      <c r="J68" t="s">
        <v>155</v>
      </c>
      <c r="K68">
        <v>4.4400000000000004</v>
      </c>
      <c r="L68">
        <v>1.1299999999999999E-3</v>
      </c>
      <c r="M68">
        <v>1.1299999999999999</v>
      </c>
      <c r="N68">
        <v>1552.05892897685</v>
      </c>
      <c r="O68">
        <v>0.39500598868104397</v>
      </c>
      <c r="P68">
        <v>1.7538265897438401</v>
      </c>
      <c r="Q68">
        <v>1.55205892897685</v>
      </c>
    </row>
    <row r="69" spans="1:17" x14ac:dyDescent="0.25">
      <c r="A69">
        <v>1</v>
      </c>
      <c r="B69" t="s">
        <v>156</v>
      </c>
      <c r="C69">
        <v>1.53446705703562</v>
      </c>
      <c r="D69">
        <v>0.52556665738423702</v>
      </c>
      <c r="E69" t="s">
        <v>12</v>
      </c>
      <c r="F69" t="s">
        <v>39</v>
      </c>
      <c r="G69">
        <v>4</v>
      </c>
      <c r="H69" t="s">
        <v>50</v>
      </c>
      <c r="I69">
        <v>5</v>
      </c>
      <c r="J69" t="s">
        <v>114</v>
      </c>
      <c r="K69">
        <v>10</v>
      </c>
      <c r="L69">
        <v>2.5899999999999999E-3</v>
      </c>
      <c r="M69">
        <v>2.59</v>
      </c>
      <c r="N69">
        <v>1851.4322599367999</v>
      </c>
      <c r="O69">
        <v>0.47952095532363198</v>
      </c>
      <c r="P69">
        <v>4.7952095532363197</v>
      </c>
      <c r="Q69">
        <v>1.8514322599368001</v>
      </c>
    </row>
    <row r="70" spans="1:17" x14ac:dyDescent="0.25">
      <c r="A70">
        <v>1</v>
      </c>
      <c r="B70" t="s">
        <v>157</v>
      </c>
      <c r="C70">
        <v>1.9349206602222</v>
      </c>
      <c r="D70">
        <v>0.58443333705266298</v>
      </c>
      <c r="E70" t="s">
        <v>12</v>
      </c>
      <c r="F70" t="s">
        <v>39</v>
      </c>
      <c r="G70">
        <v>5</v>
      </c>
      <c r="H70" t="s">
        <v>123</v>
      </c>
      <c r="I70">
        <v>3</v>
      </c>
      <c r="J70" t="s">
        <v>158</v>
      </c>
      <c r="K70">
        <v>15.82</v>
      </c>
      <c r="L70">
        <v>2.3900000000000002E-3</v>
      </c>
      <c r="M70">
        <v>2.39</v>
      </c>
      <c r="N70">
        <v>2529.9694825081001</v>
      </c>
      <c r="O70">
        <v>0.382214100075497</v>
      </c>
      <c r="P70">
        <v>6.0466270631943697</v>
      </c>
      <c r="Q70">
        <v>2.5299694825081001</v>
      </c>
    </row>
    <row r="71" spans="1:17" x14ac:dyDescent="0.25">
      <c r="A71">
        <v>1</v>
      </c>
      <c r="B71" t="s">
        <v>159</v>
      </c>
      <c r="C71">
        <v>2.1820861195761099</v>
      </c>
      <c r="D71">
        <v>0.62076665957768795</v>
      </c>
      <c r="E71" t="s">
        <v>12</v>
      </c>
      <c r="F71" t="s">
        <v>39</v>
      </c>
      <c r="G71">
        <v>5</v>
      </c>
      <c r="H71" t="s">
        <v>123</v>
      </c>
      <c r="I71">
        <v>4</v>
      </c>
      <c r="J71" t="s">
        <v>160</v>
      </c>
      <c r="K71">
        <v>13.04</v>
      </c>
      <c r="L71">
        <v>2.2300000000000002E-3</v>
      </c>
      <c r="M71">
        <v>2.23</v>
      </c>
      <c r="N71">
        <v>3057.8561092714499</v>
      </c>
      <c r="O71">
        <v>0.52293091439228001</v>
      </c>
      <c r="P71">
        <v>6.8190191236753304</v>
      </c>
      <c r="Q71">
        <v>3.0578561092714498</v>
      </c>
    </row>
    <row r="72" spans="1:17" x14ac:dyDescent="0.25">
      <c r="A72">
        <v>1</v>
      </c>
      <c r="B72" t="s">
        <v>161</v>
      </c>
      <c r="C72">
        <v>3.0220000187555902</v>
      </c>
      <c r="D72">
        <v>0.61220000187555901</v>
      </c>
      <c r="E72" t="s">
        <v>162</v>
      </c>
      <c r="F72" t="s">
        <v>13</v>
      </c>
      <c r="G72">
        <v>1</v>
      </c>
      <c r="H72" t="s">
        <v>14</v>
      </c>
      <c r="I72">
        <v>3</v>
      </c>
      <c r="J72" t="s">
        <v>163</v>
      </c>
      <c r="K72">
        <v>37</v>
      </c>
      <c r="L72">
        <v>2.66E-3</v>
      </c>
      <c r="M72">
        <v>2.66</v>
      </c>
      <c r="N72">
        <v>3550.2819769215198</v>
      </c>
      <c r="O72">
        <v>0.25523648807057397</v>
      </c>
      <c r="P72">
        <v>9.4437500586112293</v>
      </c>
      <c r="Q72">
        <v>3.5502819769215201</v>
      </c>
    </row>
    <row r="73" spans="1:17" x14ac:dyDescent="0.25">
      <c r="A73">
        <v>1</v>
      </c>
      <c r="B73" t="s">
        <v>164</v>
      </c>
      <c r="C73">
        <v>3.1206665674845402</v>
      </c>
      <c r="D73">
        <v>0.62206665674845396</v>
      </c>
      <c r="E73" t="s">
        <v>162</v>
      </c>
      <c r="F73" t="s">
        <v>13</v>
      </c>
      <c r="G73">
        <v>2</v>
      </c>
      <c r="H73" t="s">
        <v>62</v>
      </c>
      <c r="I73">
        <v>1</v>
      </c>
      <c r="J73" t="s">
        <v>165</v>
      </c>
      <c r="K73">
        <v>51</v>
      </c>
      <c r="L73">
        <v>3.96E-3</v>
      </c>
      <c r="M73">
        <v>3.96</v>
      </c>
      <c r="N73">
        <v>2462.6472281285801</v>
      </c>
      <c r="O73">
        <v>0.19121731418410201</v>
      </c>
      <c r="P73">
        <v>9.7520830233891793</v>
      </c>
      <c r="Q73">
        <v>2.4626472281285801</v>
      </c>
    </row>
    <row r="74" spans="1:17" x14ac:dyDescent="0.25">
      <c r="A74">
        <v>1</v>
      </c>
      <c r="B74" t="s">
        <v>166</v>
      </c>
      <c r="C74">
        <v>2.0856666803359998</v>
      </c>
      <c r="D74">
        <v>0.51856666803359996</v>
      </c>
      <c r="E74" t="s">
        <v>162</v>
      </c>
      <c r="F74" t="s">
        <v>24</v>
      </c>
      <c r="G74">
        <v>1</v>
      </c>
      <c r="H74" t="s">
        <v>25</v>
      </c>
      <c r="I74">
        <v>1</v>
      </c>
      <c r="J74" t="s">
        <v>167</v>
      </c>
      <c r="K74">
        <v>26</v>
      </c>
      <c r="L74">
        <v>3.4499999999999999E-3</v>
      </c>
      <c r="M74">
        <v>3.45</v>
      </c>
      <c r="N74">
        <v>1889.19083363768</v>
      </c>
      <c r="O74">
        <v>0.25068109138653799</v>
      </c>
      <c r="P74">
        <v>6.5177083760499999</v>
      </c>
      <c r="Q74">
        <v>1.8891908336376799</v>
      </c>
    </row>
    <row r="75" spans="1:17" x14ac:dyDescent="0.25">
      <c r="A75">
        <v>1</v>
      </c>
      <c r="B75" t="s">
        <v>168</v>
      </c>
      <c r="C75">
        <v>2.6553333044052101</v>
      </c>
      <c r="D75">
        <v>0.57553333044052102</v>
      </c>
      <c r="E75" t="s">
        <v>162</v>
      </c>
      <c r="F75" t="s">
        <v>24</v>
      </c>
      <c r="G75">
        <v>1</v>
      </c>
      <c r="H75" t="s">
        <v>25</v>
      </c>
      <c r="I75">
        <v>2</v>
      </c>
      <c r="J75" t="s">
        <v>169</v>
      </c>
      <c r="K75">
        <v>33</v>
      </c>
      <c r="L75">
        <v>2.4399999999999999E-3</v>
      </c>
      <c r="M75">
        <v>2.44</v>
      </c>
      <c r="N75">
        <v>3400.78548207635</v>
      </c>
      <c r="O75">
        <v>0.25145201746261497</v>
      </c>
      <c r="P75">
        <v>8.2979165762662905</v>
      </c>
      <c r="Q75">
        <v>3.4007854820763499</v>
      </c>
    </row>
    <row r="76" spans="1:17" x14ac:dyDescent="0.25">
      <c r="A76">
        <v>1</v>
      </c>
      <c r="B76" t="s">
        <v>170</v>
      </c>
      <c r="C76">
        <v>2.3160000880559299</v>
      </c>
      <c r="D76">
        <v>0.541600008805593</v>
      </c>
      <c r="E76" t="s">
        <v>162</v>
      </c>
      <c r="F76" t="s">
        <v>24</v>
      </c>
      <c r="G76">
        <v>1</v>
      </c>
      <c r="H76" t="s">
        <v>25</v>
      </c>
      <c r="I76">
        <v>3</v>
      </c>
      <c r="J76" t="s">
        <v>145</v>
      </c>
      <c r="K76">
        <v>32</v>
      </c>
      <c r="L76">
        <v>3.2200000000000002E-3</v>
      </c>
      <c r="M76">
        <v>3.22</v>
      </c>
      <c r="N76">
        <v>2247.6708929114202</v>
      </c>
      <c r="O76">
        <v>0.226171883599212</v>
      </c>
      <c r="P76">
        <v>7.2375002751747797</v>
      </c>
      <c r="Q76">
        <v>2.2476708929114202</v>
      </c>
    </row>
    <row r="77" spans="1:17" x14ac:dyDescent="0.25">
      <c r="A77">
        <v>1</v>
      </c>
      <c r="B77" t="s">
        <v>171</v>
      </c>
      <c r="C77">
        <v>2.7039999008178701</v>
      </c>
      <c r="D77">
        <v>0.580399990081787</v>
      </c>
      <c r="E77" t="s">
        <v>162</v>
      </c>
      <c r="F77" t="s">
        <v>24</v>
      </c>
      <c r="G77">
        <v>2</v>
      </c>
      <c r="H77" t="s">
        <v>30</v>
      </c>
      <c r="I77">
        <v>1</v>
      </c>
      <c r="J77" t="s">
        <v>167</v>
      </c>
      <c r="K77">
        <v>26</v>
      </c>
      <c r="L77">
        <v>3.63E-3</v>
      </c>
      <c r="M77">
        <v>3.63</v>
      </c>
      <c r="N77">
        <v>2327.82360607599</v>
      </c>
      <c r="O77">
        <v>0.32499998807907099</v>
      </c>
      <c r="P77">
        <v>8.4499996900558507</v>
      </c>
      <c r="Q77">
        <v>2.3278236060759898</v>
      </c>
    </row>
    <row r="78" spans="1:17" x14ac:dyDescent="0.25">
      <c r="A78">
        <v>1</v>
      </c>
      <c r="B78" t="s">
        <v>172</v>
      </c>
      <c r="C78">
        <v>3.15899990399679</v>
      </c>
      <c r="D78">
        <v>0.62589999039967903</v>
      </c>
      <c r="E78" t="s">
        <v>162</v>
      </c>
      <c r="F78" t="s">
        <v>24</v>
      </c>
      <c r="G78">
        <v>2</v>
      </c>
      <c r="H78" t="s">
        <v>30</v>
      </c>
      <c r="I78">
        <v>2</v>
      </c>
      <c r="J78" t="s">
        <v>173</v>
      </c>
      <c r="K78">
        <v>18</v>
      </c>
      <c r="L78">
        <v>2.66E-3</v>
      </c>
      <c r="M78">
        <v>2.66</v>
      </c>
      <c r="N78">
        <v>3711.2310902217901</v>
      </c>
      <c r="O78">
        <v>0.54843748333277498</v>
      </c>
      <c r="P78">
        <v>9.8718746999899505</v>
      </c>
      <c r="Q78">
        <v>3.7112310902217902</v>
      </c>
    </row>
    <row r="79" spans="1:17" x14ac:dyDescent="0.25">
      <c r="A79">
        <v>1</v>
      </c>
      <c r="B79" t="s">
        <v>174</v>
      </c>
      <c r="C79">
        <v>5.8316666126251198</v>
      </c>
      <c r="D79">
        <v>0.89316666126251198</v>
      </c>
      <c r="E79" t="s">
        <v>162</v>
      </c>
      <c r="F79" t="s">
        <v>24</v>
      </c>
      <c r="G79">
        <v>2</v>
      </c>
      <c r="H79" t="s">
        <v>30</v>
      </c>
      <c r="I79">
        <v>3</v>
      </c>
      <c r="J79" t="s">
        <v>175</v>
      </c>
      <c r="K79">
        <v>63</v>
      </c>
      <c r="L79">
        <v>6.5199999999999998E-3</v>
      </c>
      <c r="M79">
        <v>6.52</v>
      </c>
      <c r="N79">
        <v>2795.0856080450199</v>
      </c>
      <c r="O79">
        <v>0.289269177213548</v>
      </c>
      <c r="P79">
        <v>18.223958164453499</v>
      </c>
      <c r="Q79">
        <v>2.7950856080450199</v>
      </c>
    </row>
    <row r="80" spans="1:17" x14ac:dyDescent="0.25">
      <c r="A80">
        <v>1</v>
      </c>
      <c r="B80" t="s">
        <v>176</v>
      </c>
      <c r="C80">
        <v>0.61233334143956497</v>
      </c>
      <c r="D80">
        <v>0.37123333414395598</v>
      </c>
      <c r="E80" t="s">
        <v>162</v>
      </c>
      <c r="F80" t="s">
        <v>39</v>
      </c>
      <c r="G80">
        <v>1</v>
      </c>
      <c r="H80" t="s">
        <v>40</v>
      </c>
      <c r="I80">
        <v>1</v>
      </c>
      <c r="J80" t="s">
        <v>111</v>
      </c>
      <c r="K80">
        <v>11</v>
      </c>
      <c r="L80">
        <v>2.3500000000000001E-3</v>
      </c>
      <c r="M80">
        <v>2.35</v>
      </c>
      <c r="N80">
        <v>814.273060424954</v>
      </c>
      <c r="O80">
        <v>0.17395833563624</v>
      </c>
      <c r="P80">
        <v>1.9135416919986401</v>
      </c>
      <c r="Q80">
        <v>0.81427306042495395</v>
      </c>
    </row>
    <row r="81" spans="1:17" x14ac:dyDescent="0.25">
      <c r="A81">
        <v>1</v>
      </c>
      <c r="B81" t="s">
        <v>177</v>
      </c>
      <c r="C81">
        <v>0.65800003608067803</v>
      </c>
      <c r="D81">
        <v>0.37580000360806798</v>
      </c>
      <c r="E81" t="s">
        <v>162</v>
      </c>
      <c r="F81" t="s">
        <v>39</v>
      </c>
      <c r="G81">
        <v>1</v>
      </c>
      <c r="H81" t="s">
        <v>40</v>
      </c>
      <c r="I81">
        <v>2</v>
      </c>
      <c r="J81" t="s">
        <v>114</v>
      </c>
      <c r="K81">
        <v>10</v>
      </c>
      <c r="L81">
        <v>1.9599999999999999E-3</v>
      </c>
      <c r="M81">
        <v>1.96</v>
      </c>
      <c r="N81">
        <v>1049.1072003837301</v>
      </c>
      <c r="O81">
        <v>0.20562501127521199</v>
      </c>
      <c r="P81">
        <v>2.05625011275212</v>
      </c>
      <c r="Q81">
        <v>1.0491072003837301</v>
      </c>
    </row>
    <row r="82" spans="1:17" x14ac:dyDescent="0.25">
      <c r="A82">
        <v>1</v>
      </c>
      <c r="B82" t="s">
        <v>178</v>
      </c>
      <c r="C82">
        <v>0.883999987443288</v>
      </c>
      <c r="D82">
        <v>0.39839999874432902</v>
      </c>
      <c r="E82" t="s">
        <v>162</v>
      </c>
      <c r="F82" t="s">
        <v>39</v>
      </c>
      <c r="G82">
        <v>1</v>
      </c>
      <c r="H82" t="s">
        <v>40</v>
      </c>
      <c r="I82">
        <v>3</v>
      </c>
      <c r="J82" t="s">
        <v>173</v>
      </c>
      <c r="K82">
        <v>18</v>
      </c>
      <c r="L82">
        <v>2.2200000000000002E-3</v>
      </c>
      <c r="M82">
        <v>2.2200000000000002</v>
      </c>
      <c r="N82">
        <v>1244.3693516938199</v>
      </c>
      <c r="O82">
        <v>0.15347222004223801</v>
      </c>
      <c r="P82">
        <v>2.7624999607602798</v>
      </c>
      <c r="Q82">
        <v>1.2443693516938199</v>
      </c>
    </row>
    <row r="83" spans="1:17" x14ac:dyDescent="0.25">
      <c r="A83">
        <v>1</v>
      </c>
      <c r="B83" t="s">
        <v>179</v>
      </c>
      <c r="C83">
        <v>3.68033351898193</v>
      </c>
      <c r="D83">
        <v>0.67803335189819303</v>
      </c>
      <c r="E83" t="s">
        <v>162</v>
      </c>
      <c r="F83" t="s">
        <v>39</v>
      </c>
      <c r="G83">
        <v>2</v>
      </c>
      <c r="H83" t="s">
        <v>45</v>
      </c>
      <c r="I83">
        <v>1</v>
      </c>
      <c r="J83" t="s">
        <v>180</v>
      </c>
      <c r="K83">
        <v>46</v>
      </c>
      <c r="L83">
        <v>3.5799999999999998E-3</v>
      </c>
      <c r="M83">
        <v>3.58</v>
      </c>
      <c r="N83">
        <v>3212.5816331895398</v>
      </c>
      <c r="O83">
        <v>0.25002265753953401</v>
      </c>
      <c r="P83">
        <v>11.5010422468185</v>
      </c>
      <c r="Q83">
        <v>3.21258163318954</v>
      </c>
    </row>
    <row r="84" spans="1:17" x14ac:dyDescent="0.25">
      <c r="A84">
        <v>1</v>
      </c>
      <c r="B84" t="s">
        <v>181</v>
      </c>
      <c r="C84">
        <v>1.07666673660278</v>
      </c>
      <c r="D84">
        <v>0.41766667366027799</v>
      </c>
      <c r="E84" t="s">
        <v>162</v>
      </c>
      <c r="F84" t="s">
        <v>39</v>
      </c>
      <c r="G84">
        <v>2</v>
      </c>
      <c r="H84" t="s">
        <v>45</v>
      </c>
      <c r="I84">
        <v>2</v>
      </c>
      <c r="J84" t="s">
        <v>147</v>
      </c>
      <c r="K84">
        <v>14</v>
      </c>
      <c r="L84">
        <v>1.33E-3</v>
      </c>
      <c r="M84">
        <v>1.33</v>
      </c>
      <c r="N84">
        <v>2529.7620690854901</v>
      </c>
      <c r="O84">
        <v>0.24032739656312099</v>
      </c>
      <c r="P84">
        <v>3.3645835518837002</v>
      </c>
      <c r="Q84">
        <v>2.5297620690854901</v>
      </c>
    </row>
    <row r="85" spans="1:17" x14ac:dyDescent="0.25">
      <c r="A85">
        <v>1</v>
      </c>
      <c r="B85" t="s">
        <v>182</v>
      </c>
      <c r="C85">
        <v>3.06433342297872</v>
      </c>
      <c r="D85">
        <v>0.61643334229787194</v>
      </c>
      <c r="E85" t="s">
        <v>162</v>
      </c>
      <c r="F85" t="s">
        <v>39</v>
      </c>
      <c r="G85">
        <v>2</v>
      </c>
      <c r="H85" t="s">
        <v>45</v>
      </c>
      <c r="I85">
        <v>3</v>
      </c>
      <c r="J85" t="s">
        <v>183</v>
      </c>
      <c r="K85">
        <v>50</v>
      </c>
      <c r="L85">
        <v>3.13E-3</v>
      </c>
      <c r="M85">
        <v>3.13</v>
      </c>
      <c r="N85">
        <v>3059.4383216640599</v>
      </c>
      <c r="O85">
        <v>0.19152083893617</v>
      </c>
      <c r="P85">
        <v>9.5760419468085001</v>
      </c>
      <c r="Q85">
        <v>3.0594383216640599</v>
      </c>
    </row>
    <row r="86" spans="1:17" x14ac:dyDescent="0.25">
      <c r="A86">
        <v>1</v>
      </c>
      <c r="B86" t="s">
        <v>184</v>
      </c>
      <c r="C86">
        <v>0.98699999252955095</v>
      </c>
      <c r="D86">
        <v>0.40869999925295503</v>
      </c>
      <c r="E86" t="s">
        <v>12</v>
      </c>
      <c r="F86" t="s">
        <v>13</v>
      </c>
      <c r="G86">
        <v>6</v>
      </c>
      <c r="H86" t="s">
        <v>185</v>
      </c>
      <c r="I86">
        <v>1</v>
      </c>
      <c r="J86" t="s">
        <v>186</v>
      </c>
      <c r="K86">
        <v>1.76</v>
      </c>
      <c r="L86">
        <v>9.8999999999999999E-4</v>
      </c>
      <c r="M86">
        <v>0.99</v>
      </c>
      <c r="N86">
        <v>3115.53027944934</v>
      </c>
      <c r="O86">
        <v>1.75248578219025</v>
      </c>
      <c r="P86">
        <v>3.0843749766548498</v>
      </c>
      <c r="Q86">
        <v>3.1155302794493398</v>
      </c>
    </row>
    <row r="87" spans="1:17" x14ac:dyDescent="0.25">
      <c r="A87">
        <v>1</v>
      </c>
      <c r="B87" t="s">
        <v>187</v>
      </c>
      <c r="C87">
        <v>1.67933337291082</v>
      </c>
      <c r="D87">
        <v>0.47793333729108201</v>
      </c>
      <c r="E87" t="s">
        <v>12</v>
      </c>
      <c r="F87" t="s">
        <v>13</v>
      </c>
      <c r="G87">
        <v>6</v>
      </c>
      <c r="H87" t="s">
        <v>185</v>
      </c>
      <c r="I87">
        <v>2</v>
      </c>
      <c r="J87" t="s">
        <v>188</v>
      </c>
      <c r="K87">
        <v>5.21</v>
      </c>
      <c r="L87">
        <v>1.42E-3</v>
      </c>
      <c r="M87">
        <v>1.42</v>
      </c>
      <c r="N87">
        <v>3695.7160495396502</v>
      </c>
      <c r="O87">
        <v>1.00727769488413</v>
      </c>
      <c r="P87">
        <v>5.2479167903463004</v>
      </c>
      <c r="Q87">
        <v>3.6957160495396502</v>
      </c>
    </row>
    <row r="88" spans="1:17" x14ac:dyDescent="0.25">
      <c r="A88">
        <v>1</v>
      </c>
      <c r="B88" t="s">
        <v>189</v>
      </c>
      <c r="C88">
        <v>2.8296667575836199</v>
      </c>
      <c r="D88">
        <v>0.59296667575836204</v>
      </c>
      <c r="E88" t="s">
        <v>12</v>
      </c>
      <c r="F88" t="s">
        <v>13</v>
      </c>
      <c r="G88">
        <v>6</v>
      </c>
      <c r="H88" t="s">
        <v>185</v>
      </c>
      <c r="I88">
        <v>3</v>
      </c>
      <c r="J88" t="s">
        <v>190</v>
      </c>
      <c r="K88">
        <v>6.17</v>
      </c>
      <c r="L88">
        <v>2.0300000000000001E-3</v>
      </c>
      <c r="M88">
        <v>2.0299999999999998</v>
      </c>
      <c r="N88">
        <v>4356.0140972654199</v>
      </c>
      <c r="O88">
        <v>1.43317805793336</v>
      </c>
      <c r="P88">
        <v>8.8427086174488103</v>
      </c>
      <c r="Q88">
        <v>4.3560140972654198</v>
      </c>
    </row>
    <row r="89" spans="1:17" x14ac:dyDescent="0.25">
      <c r="A89">
        <v>1</v>
      </c>
      <c r="B89" t="s">
        <v>191</v>
      </c>
      <c r="C89">
        <v>1.76599991718928</v>
      </c>
      <c r="D89">
        <v>0.48659999171892798</v>
      </c>
      <c r="E89" t="s">
        <v>12</v>
      </c>
      <c r="F89" t="s">
        <v>13</v>
      </c>
      <c r="G89">
        <v>6</v>
      </c>
      <c r="H89" t="s">
        <v>185</v>
      </c>
      <c r="I89">
        <v>4</v>
      </c>
      <c r="J89" t="s">
        <v>192</v>
      </c>
      <c r="K89">
        <v>5.74</v>
      </c>
      <c r="L89">
        <v>1.5900000000000001E-3</v>
      </c>
      <c r="M89">
        <v>1.59</v>
      </c>
      <c r="N89">
        <v>3470.9117869286201</v>
      </c>
      <c r="O89">
        <v>0.96145465874851899</v>
      </c>
      <c r="P89">
        <v>5.5187497412165003</v>
      </c>
      <c r="Q89">
        <v>3.4709117869286201</v>
      </c>
    </row>
    <row r="90" spans="1:17" x14ac:dyDescent="0.25">
      <c r="A90">
        <v>1</v>
      </c>
      <c r="B90" t="s">
        <v>193</v>
      </c>
      <c r="C90">
        <v>1.7386667172114101</v>
      </c>
      <c r="D90">
        <v>0.48386667172114101</v>
      </c>
      <c r="E90" t="s">
        <v>12</v>
      </c>
      <c r="F90" t="s">
        <v>39</v>
      </c>
      <c r="G90">
        <v>5</v>
      </c>
      <c r="H90" t="s">
        <v>123</v>
      </c>
      <c r="I90">
        <v>5</v>
      </c>
      <c r="J90" t="s">
        <v>194</v>
      </c>
      <c r="K90">
        <v>8.02</v>
      </c>
      <c r="L90">
        <v>1.66E-3</v>
      </c>
      <c r="M90">
        <v>1.66</v>
      </c>
      <c r="N90">
        <v>3273.0924646299</v>
      </c>
      <c r="O90">
        <v>0.677473003900953</v>
      </c>
      <c r="P90">
        <v>5.4333334912856399</v>
      </c>
      <c r="Q90">
        <v>3.2730924646299</v>
      </c>
    </row>
    <row r="91" spans="1:17" x14ac:dyDescent="0.25">
      <c r="A91">
        <v>1</v>
      </c>
      <c r="B91" t="s">
        <v>195</v>
      </c>
      <c r="C91">
        <v>0.85166655381520595</v>
      </c>
      <c r="D91">
        <v>0.39516665538152101</v>
      </c>
      <c r="E91" t="s">
        <v>12</v>
      </c>
      <c r="F91" t="s">
        <v>39</v>
      </c>
      <c r="G91">
        <v>6</v>
      </c>
      <c r="H91" t="s">
        <v>55</v>
      </c>
      <c r="I91">
        <v>5</v>
      </c>
      <c r="J91" t="s">
        <v>196</v>
      </c>
      <c r="K91">
        <v>3.55</v>
      </c>
      <c r="L91">
        <v>1.1299999999999999E-3</v>
      </c>
      <c r="M91">
        <v>1.1299999999999999</v>
      </c>
      <c r="N91">
        <v>2355.27254926772</v>
      </c>
      <c r="O91">
        <v>0.74970647342887797</v>
      </c>
      <c r="P91">
        <v>2.66145798067252</v>
      </c>
      <c r="Q91">
        <v>2.35527254926772</v>
      </c>
    </row>
    <row r="92" spans="1:17" x14ac:dyDescent="0.25">
      <c r="A92">
        <v>1</v>
      </c>
      <c r="B92" t="s">
        <v>197</v>
      </c>
      <c r="C92">
        <v>1.940789405714</v>
      </c>
      <c r="D92">
        <v>0.61499998966852798</v>
      </c>
      <c r="E92" t="s">
        <v>162</v>
      </c>
      <c r="F92" t="s">
        <v>13</v>
      </c>
      <c r="G92">
        <v>2</v>
      </c>
      <c r="H92" t="s">
        <v>62</v>
      </c>
      <c r="I92">
        <v>2</v>
      </c>
      <c r="J92" t="s">
        <v>198</v>
      </c>
      <c r="K92">
        <v>34</v>
      </c>
      <c r="L92">
        <v>2.7699999999999999E-3</v>
      </c>
      <c r="M92">
        <v>2.77</v>
      </c>
      <c r="N92">
        <v>2189.5187338831201</v>
      </c>
      <c r="O92">
        <v>0.178381379201655</v>
      </c>
      <c r="P92">
        <v>6.0649668928562503</v>
      </c>
      <c r="Q92">
        <v>2.1895187338831201</v>
      </c>
    </row>
    <row r="93" spans="1:17" x14ac:dyDescent="0.25">
      <c r="A93">
        <v>1</v>
      </c>
      <c r="B93" t="s">
        <v>199</v>
      </c>
      <c r="C93">
        <v>2.4706140474269298</v>
      </c>
      <c r="D93">
        <v>0.69553333520889304</v>
      </c>
      <c r="E93" t="s">
        <v>162</v>
      </c>
      <c r="F93" t="s">
        <v>13</v>
      </c>
      <c r="G93">
        <v>2</v>
      </c>
      <c r="H93" t="s">
        <v>62</v>
      </c>
      <c r="I93">
        <v>3</v>
      </c>
      <c r="J93" t="s">
        <v>200</v>
      </c>
      <c r="K93">
        <v>45</v>
      </c>
      <c r="L93">
        <v>1.81E-3</v>
      </c>
      <c r="M93">
        <v>1.81</v>
      </c>
      <c r="N93">
        <v>4265.5629271873704</v>
      </c>
      <c r="O93">
        <v>0.171570419960203</v>
      </c>
      <c r="P93">
        <v>7.7206688982091398</v>
      </c>
      <c r="Q93">
        <v>4.2655629271873696</v>
      </c>
    </row>
    <row r="94" spans="1:17" x14ac:dyDescent="0.25">
      <c r="A94">
        <v>1</v>
      </c>
      <c r="B94" t="s">
        <v>201</v>
      </c>
      <c r="C94">
        <v>2.4717105898940801</v>
      </c>
      <c r="D94">
        <v>0.6957000096639</v>
      </c>
      <c r="E94" t="s">
        <v>162</v>
      </c>
      <c r="F94" t="s">
        <v>13</v>
      </c>
      <c r="G94">
        <v>3</v>
      </c>
      <c r="H94" t="s">
        <v>19</v>
      </c>
      <c r="I94">
        <v>1</v>
      </c>
      <c r="J94" t="s">
        <v>26</v>
      </c>
      <c r="K94">
        <v>19</v>
      </c>
      <c r="L94">
        <v>2.4299999999999999E-3</v>
      </c>
      <c r="M94">
        <v>2.4300000000000002</v>
      </c>
      <c r="N94">
        <v>3178.6401619008202</v>
      </c>
      <c r="O94">
        <v>0.40653134702205201</v>
      </c>
      <c r="P94">
        <v>7.7240955934189897</v>
      </c>
      <c r="Q94">
        <v>3.17864016190082</v>
      </c>
    </row>
    <row r="95" spans="1:17" x14ac:dyDescent="0.25">
      <c r="A95">
        <v>1</v>
      </c>
      <c r="B95" t="s">
        <v>202</v>
      </c>
      <c r="C95">
        <v>2.12938595236393</v>
      </c>
      <c r="D95">
        <v>0.643666664759318</v>
      </c>
      <c r="E95" t="s">
        <v>162</v>
      </c>
      <c r="F95" t="s">
        <v>13</v>
      </c>
      <c r="G95">
        <v>3</v>
      </c>
      <c r="H95" t="s">
        <v>19</v>
      </c>
      <c r="I95">
        <v>2</v>
      </c>
      <c r="J95" t="s">
        <v>82</v>
      </c>
      <c r="K95">
        <v>12</v>
      </c>
      <c r="L95">
        <v>1.4300000000000001E-3</v>
      </c>
      <c r="M95">
        <v>1.43</v>
      </c>
      <c r="N95">
        <v>4653.3783924036998</v>
      </c>
      <c r="O95">
        <v>0.55452759176144095</v>
      </c>
      <c r="P95">
        <v>6.6543311011372897</v>
      </c>
      <c r="Q95">
        <v>4.6533783924036998</v>
      </c>
    </row>
    <row r="96" spans="1:17" x14ac:dyDescent="0.25">
      <c r="A96">
        <v>1</v>
      </c>
      <c r="B96" t="s">
        <v>203</v>
      </c>
      <c r="C96">
        <v>2.8122808117615499</v>
      </c>
      <c r="D96">
        <v>0.74746668338775601</v>
      </c>
      <c r="E96" t="s">
        <v>162</v>
      </c>
      <c r="F96" t="s">
        <v>13</v>
      </c>
      <c r="G96">
        <v>3</v>
      </c>
      <c r="H96" t="s">
        <v>19</v>
      </c>
      <c r="I96">
        <v>3</v>
      </c>
      <c r="J96" t="s">
        <v>145</v>
      </c>
      <c r="K96">
        <v>32</v>
      </c>
      <c r="L96">
        <v>1.9599999999999999E-3</v>
      </c>
      <c r="M96">
        <v>1.96</v>
      </c>
      <c r="N96">
        <v>4483.8660901810499</v>
      </c>
      <c r="O96">
        <v>0.27463679802358898</v>
      </c>
      <c r="P96">
        <v>8.7883775367548598</v>
      </c>
      <c r="Q96">
        <v>4.4838660901810501</v>
      </c>
    </row>
    <row r="97" spans="1:17" x14ac:dyDescent="0.25">
      <c r="A97">
        <v>1</v>
      </c>
      <c r="B97" t="s">
        <v>204</v>
      </c>
      <c r="C97">
        <v>3.5059209769232198</v>
      </c>
      <c r="D97">
        <v>0.85289998849232995</v>
      </c>
      <c r="E97" t="s">
        <v>162</v>
      </c>
      <c r="F97" t="s">
        <v>24</v>
      </c>
      <c r="G97">
        <v>3</v>
      </c>
      <c r="H97" t="s">
        <v>33</v>
      </c>
      <c r="I97">
        <v>1</v>
      </c>
      <c r="J97" t="s">
        <v>205</v>
      </c>
      <c r="K97">
        <v>31</v>
      </c>
      <c r="L97">
        <v>3.0899999999999999E-3</v>
      </c>
      <c r="M97">
        <v>3.09</v>
      </c>
      <c r="N97">
        <v>3545.6320559498599</v>
      </c>
      <c r="O97">
        <v>0.35341945331887298</v>
      </c>
      <c r="P97">
        <v>10.9560030528851</v>
      </c>
      <c r="Q97">
        <v>3.5456320559498602</v>
      </c>
    </row>
    <row r="98" spans="1:17" x14ac:dyDescent="0.25">
      <c r="A98">
        <v>1</v>
      </c>
      <c r="B98" t="s">
        <v>206</v>
      </c>
      <c r="C98">
        <v>3.4745613524788301</v>
      </c>
      <c r="D98">
        <v>0.848133325576782</v>
      </c>
      <c r="E98" t="s">
        <v>162</v>
      </c>
      <c r="F98" t="s">
        <v>24</v>
      </c>
      <c r="G98">
        <v>3</v>
      </c>
      <c r="H98" t="s">
        <v>33</v>
      </c>
      <c r="I98">
        <v>2</v>
      </c>
      <c r="J98" t="s">
        <v>207</v>
      </c>
      <c r="K98">
        <v>41</v>
      </c>
      <c r="L98">
        <v>2.7599999999999999E-3</v>
      </c>
      <c r="M98">
        <v>2.76</v>
      </c>
      <c r="N98">
        <v>3934.0595023537498</v>
      </c>
      <c r="O98">
        <v>0.26482937137795998</v>
      </c>
      <c r="P98">
        <v>10.8580042264963</v>
      </c>
      <c r="Q98">
        <v>3.9340595023537501</v>
      </c>
    </row>
    <row r="99" spans="1:17" x14ac:dyDescent="0.25">
      <c r="A99">
        <v>1</v>
      </c>
      <c r="B99" t="s">
        <v>208</v>
      </c>
      <c r="C99">
        <v>3.4390350235135898</v>
      </c>
      <c r="D99">
        <v>0.84273332357406605</v>
      </c>
      <c r="E99" t="s">
        <v>162</v>
      </c>
      <c r="F99" t="s">
        <v>24</v>
      </c>
      <c r="G99">
        <v>3</v>
      </c>
      <c r="H99" t="s">
        <v>33</v>
      </c>
      <c r="I99">
        <v>3</v>
      </c>
      <c r="J99" t="s">
        <v>209</v>
      </c>
      <c r="K99">
        <v>28</v>
      </c>
      <c r="L99">
        <v>2.2799999999999999E-3</v>
      </c>
      <c r="M99">
        <v>2.2799999999999998</v>
      </c>
      <c r="N99">
        <v>4713.5896703859598</v>
      </c>
      <c r="O99">
        <v>0.38382087315999902</v>
      </c>
      <c r="P99">
        <v>10.746984448479999</v>
      </c>
      <c r="Q99">
        <v>4.7135896703859599</v>
      </c>
    </row>
    <row r="100" spans="1:17" x14ac:dyDescent="0.25">
      <c r="A100">
        <v>1</v>
      </c>
      <c r="B100" t="s">
        <v>210</v>
      </c>
      <c r="C100">
        <v>0.48881581477951602</v>
      </c>
      <c r="D100">
        <v>0.394300003846486</v>
      </c>
      <c r="E100" t="s">
        <v>162</v>
      </c>
      <c r="F100" t="s">
        <v>39</v>
      </c>
      <c r="G100">
        <v>3</v>
      </c>
      <c r="H100" t="s">
        <v>118</v>
      </c>
      <c r="I100">
        <v>3</v>
      </c>
      <c r="J100" t="s">
        <v>114</v>
      </c>
      <c r="K100">
        <v>10</v>
      </c>
      <c r="L100">
        <v>1.3699999999999999E-3</v>
      </c>
      <c r="M100">
        <v>1.37</v>
      </c>
      <c r="N100">
        <v>1114.9995775080199</v>
      </c>
      <c r="O100">
        <v>0.152754942118599</v>
      </c>
      <c r="P100">
        <v>1.5275494211859899</v>
      </c>
      <c r="Q100">
        <v>1.1149995775080199</v>
      </c>
    </row>
    <row r="101" spans="1:17" x14ac:dyDescent="0.25">
      <c r="A101">
        <v>1</v>
      </c>
      <c r="B101" t="s">
        <v>211</v>
      </c>
      <c r="C101">
        <v>0.67127190661012104</v>
      </c>
      <c r="D101">
        <v>0.42203332980473801</v>
      </c>
      <c r="E101" t="s">
        <v>162</v>
      </c>
      <c r="F101" t="s">
        <v>39</v>
      </c>
      <c r="G101">
        <v>3</v>
      </c>
      <c r="H101" t="s">
        <v>118</v>
      </c>
      <c r="I101">
        <v>4</v>
      </c>
      <c r="J101" t="s">
        <v>111</v>
      </c>
      <c r="K101">
        <v>11</v>
      </c>
      <c r="L101">
        <v>2.2100000000000002E-3</v>
      </c>
      <c r="M101">
        <v>2.21</v>
      </c>
      <c r="N101">
        <v>949.19670052336096</v>
      </c>
      <c r="O101">
        <v>0.190702246196057</v>
      </c>
      <c r="P101">
        <v>2.0977247081566301</v>
      </c>
      <c r="Q101">
        <v>0.94919670052336103</v>
      </c>
    </row>
    <row r="102" spans="1:17" x14ac:dyDescent="0.25">
      <c r="A102">
        <v>1</v>
      </c>
      <c r="B102" t="s">
        <v>212</v>
      </c>
      <c r="C102">
        <v>0.33070175009861302</v>
      </c>
      <c r="D102">
        <v>0.37026666601498898</v>
      </c>
      <c r="E102" t="s">
        <v>162</v>
      </c>
      <c r="F102" t="s">
        <v>39</v>
      </c>
      <c r="G102">
        <v>3</v>
      </c>
      <c r="H102" t="s">
        <v>118</v>
      </c>
      <c r="I102">
        <v>5</v>
      </c>
      <c r="J102" t="s">
        <v>106</v>
      </c>
      <c r="K102">
        <v>8</v>
      </c>
      <c r="L102">
        <v>1.6299999999999999E-3</v>
      </c>
      <c r="M102">
        <v>1.63</v>
      </c>
      <c r="N102">
        <v>634.014091446728</v>
      </c>
      <c r="O102">
        <v>0.12918037113227099</v>
      </c>
      <c r="P102">
        <v>1.0334429690581699</v>
      </c>
      <c r="Q102">
        <v>0.63401409144672805</v>
      </c>
    </row>
    <row r="103" spans="1:17" x14ac:dyDescent="0.25">
      <c r="A103">
        <v>1</v>
      </c>
      <c r="B103" t="s">
        <v>213</v>
      </c>
      <c r="C103">
        <v>1.9572368891615599</v>
      </c>
      <c r="D103">
        <v>0.61750000715255704</v>
      </c>
      <c r="E103" t="s">
        <v>162</v>
      </c>
      <c r="F103" t="s">
        <v>39</v>
      </c>
      <c r="G103">
        <v>5</v>
      </c>
      <c r="H103" t="s">
        <v>123</v>
      </c>
      <c r="I103">
        <v>1</v>
      </c>
      <c r="J103" t="s">
        <v>26</v>
      </c>
      <c r="K103">
        <v>19</v>
      </c>
      <c r="L103">
        <v>1.8699999999999999E-3</v>
      </c>
      <c r="M103">
        <v>1.87</v>
      </c>
      <c r="N103">
        <v>3270.78357145983</v>
      </c>
      <c r="O103">
        <v>0.32191396203315198</v>
      </c>
      <c r="P103">
        <v>6.1163652786298801</v>
      </c>
      <c r="Q103">
        <v>3.2707835714598299</v>
      </c>
    </row>
    <row r="104" spans="1:17" x14ac:dyDescent="0.25">
      <c r="A104">
        <v>1</v>
      </c>
      <c r="B104" t="s">
        <v>214</v>
      </c>
      <c r="C104">
        <v>0.93728070457776402</v>
      </c>
      <c r="D104">
        <v>0.46246666709582002</v>
      </c>
      <c r="E104" t="s">
        <v>162</v>
      </c>
      <c r="F104" t="s">
        <v>39</v>
      </c>
      <c r="G104">
        <v>5</v>
      </c>
      <c r="H104" t="s">
        <v>123</v>
      </c>
      <c r="I104">
        <v>2</v>
      </c>
      <c r="J104" t="s">
        <v>80</v>
      </c>
      <c r="K104">
        <v>15</v>
      </c>
      <c r="L104">
        <v>1.09E-3</v>
      </c>
      <c r="M104">
        <v>1.0900000000000001</v>
      </c>
      <c r="N104">
        <v>2687.1579833078099</v>
      </c>
      <c r="O104">
        <v>0.195266813453701</v>
      </c>
      <c r="P104">
        <v>2.9290022018055102</v>
      </c>
      <c r="Q104">
        <v>2.6871579833078099</v>
      </c>
    </row>
    <row r="105" spans="1:17" x14ac:dyDescent="0.25">
      <c r="A105">
        <v>1</v>
      </c>
      <c r="B105" t="s">
        <v>215</v>
      </c>
      <c r="C105">
        <v>1.7767544169175</v>
      </c>
      <c r="D105">
        <v>0.59006667137145996</v>
      </c>
      <c r="E105" t="s">
        <v>162</v>
      </c>
      <c r="F105" t="s">
        <v>39</v>
      </c>
      <c r="G105">
        <v>5</v>
      </c>
      <c r="H105" t="s">
        <v>123</v>
      </c>
      <c r="I105">
        <v>3</v>
      </c>
      <c r="J105" t="s">
        <v>209</v>
      </c>
      <c r="K105">
        <v>28</v>
      </c>
      <c r="L105">
        <v>2.2100000000000002E-3</v>
      </c>
      <c r="M105">
        <v>2.21</v>
      </c>
      <c r="N105">
        <v>2512.3789831978202</v>
      </c>
      <c r="O105">
        <v>0.198298484030971</v>
      </c>
      <c r="P105">
        <v>5.55235755286719</v>
      </c>
      <c r="Q105">
        <v>2.51237898319782</v>
      </c>
    </row>
    <row r="106" spans="1:17" x14ac:dyDescent="0.25">
      <c r="A106">
        <v>1</v>
      </c>
      <c r="B106" t="s">
        <v>216</v>
      </c>
      <c r="C106">
        <v>2.6151666680971801</v>
      </c>
      <c r="D106">
        <v>0.843033333619436</v>
      </c>
      <c r="E106" t="s">
        <v>162</v>
      </c>
      <c r="F106" t="s">
        <v>13</v>
      </c>
      <c r="G106">
        <v>4</v>
      </c>
      <c r="H106" t="s">
        <v>71</v>
      </c>
      <c r="I106">
        <v>3</v>
      </c>
      <c r="J106" t="s">
        <v>102</v>
      </c>
      <c r="K106">
        <v>24</v>
      </c>
      <c r="L106">
        <v>2.1099999999999999E-3</v>
      </c>
      <c r="M106">
        <v>2.11</v>
      </c>
      <c r="N106">
        <v>3873.1733828453498</v>
      </c>
      <c r="O106">
        <v>0.34051649324181998</v>
      </c>
      <c r="P106">
        <v>8.1723958378036805</v>
      </c>
      <c r="Q106">
        <v>3.8731733828453501</v>
      </c>
    </row>
    <row r="107" spans="1:17" x14ac:dyDescent="0.25">
      <c r="A107">
        <v>1</v>
      </c>
      <c r="B107" t="s">
        <v>217</v>
      </c>
      <c r="C107">
        <v>1.86566657225291</v>
      </c>
      <c r="D107">
        <v>0.69313331445058202</v>
      </c>
      <c r="E107" t="s">
        <v>162</v>
      </c>
      <c r="F107" t="s">
        <v>13</v>
      </c>
      <c r="G107">
        <v>5</v>
      </c>
      <c r="H107" t="s">
        <v>135</v>
      </c>
      <c r="I107">
        <v>2</v>
      </c>
      <c r="J107" t="s">
        <v>147</v>
      </c>
      <c r="K107">
        <v>14</v>
      </c>
      <c r="L107">
        <v>1.3600000000000001E-3</v>
      </c>
      <c r="M107">
        <v>1.36</v>
      </c>
      <c r="N107">
        <v>4286.9176752134899</v>
      </c>
      <c r="O107">
        <v>0.416443431306453</v>
      </c>
      <c r="P107">
        <v>5.8302080382903396</v>
      </c>
      <c r="Q107">
        <v>4.2869176752134903</v>
      </c>
    </row>
    <row r="108" spans="1:17" x14ac:dyDescent="0.25">
      <c r="A108">
        <v>1</v>
      </c>
      <c r="B108" t="s">
        <v>218</v>
      </c>
      <c r="C108">
        <v>1.80700000524521</v>
      </c>
      <c r="D108">
        <v>0.68140000104904197</v>
      </c>
      <c r="E108" t="s">
        <v>162</v>
      </c>
      <c r="F108" t="s">
        <v>13</v>
      </c>
      <c r="G108">
        <v>5</v>
      </c>
      <c r="H108" t="s">
        <v>135</v>
      </c>
      <c r="I108">
        <v>3</v>
      </c>
      <c r="J108" t="s">
        <v>108</v>
      </c>
      <c r="K108">
        <v>9</v>
      </c>
      <c r="L108">
        <v>1.34E-3</v>
      </c>
      <c r="M108">
        <v>1.34</v>
      </c>
      <c r="N108">
        <v>4214.0858331278196</v>
      </c>
      <c r="O108">
        <v>0.62743055737680897</v>
      </c>
      <c r="P108">
        <v>5.64687501639128</v>
      </c>
      <c r="Q108">
        <v>4.2140858331278199</v>
      </c>
    </row>
    <row r="109" spans="1:17" x14ac:dyDescent="0.25">
      <c r="A109">
        <v>1</v>
      </c>
      <c r="B109" t="s">
        <v>219</v>
      </c>
      <c r="C109">
        <v>1.7453333377838101</v>
      </c>
      <c r="D109">
        <v>0.66906666755676303</v>
      </c>
      <c r="E109" t="s">
        <v>162</v>
      </c>
      <c r="F109" t="s">
        <v>24</v>
      </c>
      <c r="G109">
        <v>4</v>
      </c>
      <c r="H109" t="s">
        <v>104</v>
      </c>
      <c r="I109">
        <v>1</v>
      </c>
      <c r="J109" t="s">
        <v>173</v>
      </c>
      <c r="K109">
        <v>18</v>
      </c>
      <c r="L109">
        <v>2.3400000000000001E-3</v>
      </c>
      <c r="M109">
        <v>2.34</v>
      </c>
      <c r="N109">
        <v>2330.8404617839401</v>
      </c>
      <c r="O109">
        <v>0.30300926003191198</v>
      </c>
      <c r="P109">
        <v>5.4541666805744198</v>
      </c>
      <c r="Q109">
        <v>2.3308404617839402</v>
      </c>
    </row>
    <row r="110" spans="1:17" x14ac:dyDescent="0.25">
      <c r="A110">
        <v>1</v>
      </c>
      <c r="B110" t="s">
        <v>220</v>
      </c>
      <c r="C110">
        <v>1.70433338880539</v>
      </c>
      <c r="D110">
        <v>0.66086667776107799</v>
      </c>
      <c r="E110" t="s">
        <v>162</v>
      </c>
      <c r="F110" t="s">
        <v>24</v>
      </c>
      <c r="G110">
        <v>4</v>
      </c>
      <c r="H110" t="s">
        <v>104</v>
      </c>
      <c r="I110">
        <v>2</v>
      </c>
      <c r="J110" t="s">
        <v>82</v>
      </c>
      <c r="K110">
        <v>12</v>
      </c>
      <c r="L110">
        <v>1.8E-3</v>
      </c>
      <c r="M110">
        <v>1.8</v>
      </c>
      <c r="N110">
        <v>2958.9121333426901</v>
      </c>
      <c r="O110">
        <v>0.44383682000140401</v>
      </c>
      <c r="P110">
        <v>5.3260418400168401</v>
      </c>
      <c r="Q110">
        <v>2.95891213334269</v>
      </c>
    </row>
    <row r="111" spans="1:17" x14ac:dyDescent="0.25">
      <c r="A111">
        <v>1</v>
      </c>
      <c r="B111" t="s">
        <v>221</v>
      </c>
      <c r="C111">
        <v>1.85299998919169</v>
      </c>
      <c r="D111">
        <v>0.69059999783833803</v>
      </c>
      <c r="E111" t="s">
        <v>162</v>
      </c>
      <c r="F111" t="s">
        <v>24</v>
      </c>
      <c r="G111">
        <v>4</v>
      </c>
      <c r="H111" t="s">
        <v>104</v>
      </c>
      <c r="I111">
        <v>3</v>
      </c>
      <c r="J111" t="s">
        <v>82</v>
      </c>
      <c r="K111">
        <v>12</v>
      </c>
      <c r="L111">
        <v>1.2999999999999999E-3</v>
      </c>
      <c r="M111">
        <v>1.3</v>
      </c>
      <c r="N111">
        <v>4454.3268970954095</v>
      </c>
      <c r="O111">
        <v>0.48255208051866999</v>
      </c>
      <c r="P111">
        <v>5.7906249662240299</v>
      </c>
      <c r="Q111">
        <v>4.4543268970954104</v>
      </c>
    </row>
    <row r="112" spans="1:17" x14ac:dyDescent="0.25">
      <c r="A112">
        <v>1</v>
      </c>
      <c r="B112" t="s">
        <v>222</v>
      </c>
      <c r="C112">
        <v>1.60266664028168</v>
      </c>
      <c r="D112">
        <v>0.64053332805633501</v>
      </c>
      <c r="E112" t="s">
        <v>162</v>
      </c>
      <c r="F112" t="s">
        <v>39</v>
      </c>
      <c r="G112">
        <v>4</v>
      </c>
      <c r="H112" t="s">
        <v>50</v>
      </c>
      <c r="I112">
        <v>1</v>
      </c>
      <c r="J112" t="s">
        <v>205</v>
      </c>
      <c r="K112">
        <v>31</v>
      </c>
      <c r="L112">
        <v>3.49E-3</v>
      </c>
      <c r="M112">
        <v>3.49</v>
      </c>
      <c r="N112">
        <v>1435.05250741554</v>
      </c>
      <c r="O112">
        <v>0.16155913712516901</v>
      </c>
      <c r="P112">
        <v>5.0083332508802396</v>
      </c>
      <c r="Q112">
        <v>1.43505250741554</v>
      </c>
    </row>
    <row r="113" spans="1:17" x14ac:dyDescent="0.25">
      <c r="A113">
        <v>1</v>
      </c>
      <c r="B113" t="s">
        <v>223</v>
      </c>
      <c r="C113">
        <v>0.296333346764247</v>
      </c>
      <c r="D113">
        <v>0.37926666935284897</v>
      </c>
      <c r="E113" t="s">
        <v>162</v>
      </c>
      <c r="F113" t="s">
        <v>39</v>
      </c>
      <c r="G113">
        <v>4</v>
      </c>
      <c r="H113" t="s">
        <v>50</v>
      </c>
      <c r="I113">
        <v>2</v>
      </c>
      <c r="J113" t="s">
        <v>106</v>
      </c>
      <c r="K113">
        <v>8</v>
      </c>
      <c r="L113">
        <v>1.57E-3</v>
      </c>
      <c r="M113">
        <v>1.57</v>
      </c>
      <c r="N113">
        <v>589.83548320908994</v>
      </c>
      <c r="O113">
        <v>0.11575521357978399</v>
      </c>
      <c r="P113">
        <v>0.92604170863827096</v>
      </c>
      <c r="Q113">
        <v>0.58983548320908996</v>
      </c>
    </row>
    <row r="114" spans="1:17" x14ac:dyDescent="0.25">
      <c r="A114">
        <v>1</v>
      </c>
      <c r="B114" t="s">
        <v>224</v>
      </c>
      <c r="C114">
        <v>1.03733337322871</v>
      </c>
      <c r="D114">
        <v>0.52746667464574204</v>
      </c>
      <c r="E114" t="s">
        <v>162</v>
      </c>
      <c r="F114" t="s">
        <v>39</v>
      </c>
      <c r="G114">
        <v>4</v>
      </c>
      <c r="H114" t="s">
        <v>50</v>
      </c>
      <c r="I114">
        <v>3</v>
      </c>
      <c r="J114" t="s">
        <v>147</v>
      </c>
      <c r="K114">
        <v>14</v>
      </c>
      <c r="L114">
        <v>3.13E-3</v>
      </c>
      <c r="M114">
        <v>3.13</v>
      </c>
      <c r="N114">
        <v>1035.67629116285</v>
      </c>
      <c r="O114">
        <v>0.23154762795283701</v>
      </c>
      <c r="P114">
        <v>3.2416667913397199</v>
      </c>
      <c r="Q114">
        <v>1.0356762911628501</v>
      </c>
    </row>
    <row r="115" spans="1:17" x14ac:dyDescent="0.25">
      <c r="A115">
        <v>1</v>
      </c>
      <c r="B115" t="s">
        <v>225</v>
      </c>
      <c r="C115">
        <v>1.2653332591056801</v>
      </c>
      <c r="D115">
        <v>0.57306665182113603</v>
      </c>
      <c r="E115" t="s">
        <v>162</v>
      </c>
      <c r="F115" t="s">
        <v>39</v>
      </c>
      <c r="G115">
        <v>6</v>
      </c>
      <c r="H115" t="s">
        <v>55</v>
      </c>
      <c r="I115">
        <v>1</v>
      </c>
      <c r="J115" t="s">
        <v>76</v>
      </c>
      <c r="K115">
        <v>20</v>
      </c>
      <c r="L115">
        <v>3.6800000000000001E-3</v>
      </c>
      <c r="M115">
        <v>3.68</v>
      </c>
      <c r="N115">
        <v>1074.50174856121</v>
      </c>
      <c r="O115">
        <v>0.19770832173526301</v>
      </c>
      <c r="P115">
        <v>3.9541664347052601</v>
      </c>
      <c r="Q115">
        <v>1.0745017485612101</v>
      </c>
    </row>
    <row r="116" spans="1:17" x14ac:dyDescent="0.25">
      <c r="A116">
        <v>1</v>
      </c>
      <c r="B116" t="s">
        <v>226</v>
      </c>
      <c r="C116">
        <v>0.78100002209345498</v>
      </c>
      <c r="D116">
        <v>0.47620000441869098</v>
      </c>
      <c r="E116" t="s">
        <v>162</v>
      </c>
      <c r="F116" t="s">
        <v>39</v>
      </c>
      <c r="G116">
        <v>6</v>
      </c>
      <c r="H116" t="s">
        <v>55</v>
      </c>
      <c r="I116">
        <v>2</v>
      </c>
      <c r="J116" t="s">
        <v>108</v>
      </c>
      <c r="K116">
        <v>9</v>
      </c>
      <c r="L116">
        <v>2.0200000000000001E-3</v>
      </c>
      <c r="M116">
        <v>2.02</v>
      </c>
      <c r="N116">
        <v>1208.2302321990301</v>
      </c>
      <c r="O116">
        <v>0.27118056322689399</v>
      </c>
      <c r="P116">
        <v>2.4406250690420501</v>
      </c>
      <c r="Q116">
        <v>1.2082302321990299</v>
      </c>
    </row>
    <row r="117" spans="1:17" x14ac:dyDescent="0.25">
      <c r="A117">
        <v>1</v>
      </c>
      <c r="B117" t="s">
        <v>227</v>
      </c>
      <c r="C117">
        <v>2.3529824624981801</v>
      </c>
      <c r="D117">
        <v>0.77706666787465395</v>
      </c>
      <c r="E117" t="s">
        <v>162</v>
      </c>
      <c r="F117" t="s">
        <v>13</v>
      </c>
      <c r="G117">
        <v>1</v>
      </c>
      <c r="H117" t="s">
        <v>14</v>
      </c>
      <c r="I117">
        <v>5</v>
      </c>
      <c r="J117" t="s">
        <v>82</v>
      </c>
      <c r="K117">
        <v>12</v>
      </c>
      <c r="L117">
        <v>1.3600000000000001E-3</v>
      </c>
      <c r="M117">
        <v>1.36</v>
      </c>
      <c r="N117">
        <v>5406.6692612550096</v>
      </c>
      <c r="O117">
        <v>0.61275584960890095</v>
      </c>
      <c r="P117">
        <v>7.3530701953068096</v>
      </c>
      <c r="Q117">
        <v>5.4066692612550096</v>
      </c>
    </row>
    <row r="118" spans="1:17" x14ac:dyDescent="0.25">
      <c r="A118">
        <v>1</v>
      </c>
      <c r="B118" t="s">
        <v>228</v>
      </c>
      <c r="C118">
        <v>0.49789476394653298</v>
      </c>
      <c r="D118">
        <v>0.42460000514984098</v>
      </c>
      <c r="E118" t="s">
        <v>162</v>
      </c>
      <c r="F118" t="s">
        <v>13</v>
      </c>
      <c r="G118">
        <v>2</v>
      </c>
      <c r="H118" t="s">
        <v>62</v>
      </c>
      <c r="I118">
        <v>4</v>
      </c>
      <c r="J118" t="s">
        <v>229</v>
      </c>
      <c r="K118">
        <v>4</v>
      </c>
      <c r="L118">
        <v>3.6000000000000002E-4</v>
      </c>
      <c r="M118">
        <v>0.36</v>
      </c>
      <c r="N118">
        <v>4322.0031592580999</v>
      </c>
      <c r="O118">
        <v>0.38898028433322901</v>
      </c>
      <c r="P118">
        <v>1.55592113733292</v>
      </c>
      <c r="Q118">
        <v>4.3220031592580996</v>
      </c>
    </row>
    <row r="119" spans="1:17" x14ac:dyDescent="0.25">
      <c r="A119">
        <v>1</v>
      </c>
      <c r="B119" t="s">
        <v>230</v>
      </c>
      <c r="C119">
        <v>0.65578950706281103</v>
      </c>
      <c r="D119">
        <v>0.45460000634193398</v>
      </c>
      <c r="E119" t="s">
        <v>162</v>
      </c>
      <c r="F119" t="s">
        <v>13</v>
      </c>
      <c r="G119">
        <v>2</v>
      </c>
      <c r="H119" t="s">
        <v>62</v>
      </c>
      <c r="I119">
        <v>5</v>
      </c>
      <c r="J119" t="s">
        <v>37</v>
      </c>
      <c r="K119">
        <v>7</v>
      </c>
      <c r="L119">
        <v>8.4000000000000003E-4</v>
      </c>
      <c r="M119">
        <v>0.84</v>
      </c>
      <c r="N119">
        <v>2439.6931066324801</v>
      </c>
      <c r="O119">
        <v>0.29276317279589797</v>
      </c>
      <c r="P119">
        <v>2.0493422095712899</v>
      </c>
      <c r="Q119">
        <v>2.4396931066324798</v>
      </c>
    </row>
    <row r="120" spans="1:17" x14ac:dyDescent="0.25">
      <c r="A120">
        <v>1</v>
      </c>
      <c r="B120" t="s">
        <v>231</v>
      </c>
      <c r="C120">
        <v>2.7545614368037201</v>
      </c>
      <c r="D120">
        <v>0.85336667299270597</v>
      </c>
      <c r="E120" t="s">
        <v>162</v>
      </c>
      <c r="F120" t="s">
        <v>13</v>
      </c>
      <c r="G120">
        <v>3</v>
      </c>
      <c r="H120" t="s">
        <v>19</v>
      </c>
      <c r="I120">
        <v>5</v>
      </c>
      <c r="J120" t="s">
        <v>147</v>
      </c>
      <c r="K120">
        <v>14</v>
      </c>
      <c r="L120">
        <v>2.1900000000000001E-3</v>
      </c>
      <c r="M120">
        <v>2.19</v>
      </c>
      <c r="N120">
        <v>3930.5956575395498</v>
      </c>
      <c r="O120">
        <v>0.61485746357225801</v>
      </c>
      <c r="P120">
        <v>8.6080044900116199</v>
      </c>
      <c r="Q120">
        <v>3.9305956575395502</v>
      </c>
    </row>
    <row r="121" spans="1:17" x14ac:dyDescent="0.25">
      <c r="A121">
        <v>1</v>
      </c>
      <c r="B121" t="s">
        <v>232</v>
      </c>
      <c r="C121">
        <v>1.4871928942830901</v>
      </c>
      <c r="D121">
        <v>0.61256664991378795</v>
      </c>
      <c r="E121" t="s">
        <v>162</v>
      </c>
      <c r="F121" t="s">
        <v>24</v>
      </c>
      <c r="G121">
        <v>1</v>
      </c>
      <c r="H121" t="s">
        <v>25</v>
      </c>
      <c r="I121">
        <v>4</v>
      </c>
      <c r="J121" t="s">
        <v>173</v>
      </c>
      <c r="K121">
        <v>18</v>
      </c>
      <c r="L121">
        <v>2.14E-3</v>
      </c>
      <c r="M121">
        <v>2.14</v>
      </c>
      <c r="N121">
        <v>2171.7185956236799</v>
      </c>
      <c r="O121">
        <v>0.25819321081303698</v>
      </c>
      <c r="P121">
        <v>4.6474777946346704</v>
      </c>
      <c r="Q121">
        <v>2.17171859562368</v>
      </c>
    </row>
    <row r="122" spans="1:17" x14ac:dyDescent="0.25">
      <c r="A122">
        <v>1</v>
      </c>
      <c r="B122" t="s">
        <v>233</v>
      </c>
      <c r="C122">
        <v>1.3701753825472101</v>
      </c>
      <c r="D122">
        <v>0.59033332268396999</v>
      </c>
      <c r="E122" t="s">
        <v>162</v>
      </c>
      <c r="F122" t="s">
        <v>24</v>
      </c>
      <c r="G122">
        <v>1</v>
      </c>
      <c r="H122" t="s">
        <v>25</v>
      </c>
      <c r="I122">
        <v>5</v>
      </c>
      <c r="J122" t="s">
        <v>147</v>
      </c>
      <c r="K122">
        <v>14</v>
      </c>
      <c r="L122">
        <v>1.2600000000000001E-3</v>
      </c>
      <c r="M122">
        <v>1.26</v>
      </c>
      <c r="N122">
        <v>3398.2524368730401</v>
      </c>
      <c r="O122">
        <v>0.30584271931857399</v>
      </c>
      <c r="P122">
        <v>4.28179807046003</v>
      </c>
      <c r="Q122">
        <v>3.3982524368730398</v>
      </c>
    </row>
    <row r="123" spans="1:17" x14ac:dyDescent="0.25">
      <c r="A123">
        <v>1</v>
      </c>
      <c r="B123" t="s">
        <v>234</v>
      </c>
      <c r="C123">
        <v>1.44877194939998</v>
      </c>
      <c r="D123">
        <v>0.60526667038599602</v>
      </c>
      <c r="E123" t="s">
        <v>162</v>
      </c>
      <c r="F123" t="s">
        <v>24</v>
      </c>
      <c r="G123">
        <v>2</v>
      </c>
      <c r="H123" t="s">
        <v>30</v>
      </c>
      <c r="I123">
        <v>4</v>
      </c>
      <c r="J123" t="s">
        <v>235</v>
      </c>
      <c r="K123">
        <v>30</v>
      </c>
      <c r="L123">
        <v>2.2300000000000002E-3</v>
      </c>
      <c r="M123">
        <v>2.23</v>
      </c>
      <c r="N123">
        <v>2030.2297497197101</v>
      </c>
      <c r="O123">
        <v>0.15091374472916499</v>
      </c>
      <c r="P123">
        <v>4.5274123418749399</v>
      </c>
      <c r="Q123">
        <v>2.0302297497197102</v>
      </c>
    </row>
    <row r="124" spans="1:17" x14ac:dyDescent="0.25">
      <c r="A124">
        <v>1</v>
      </c>
      <c r="B124" t="s">
        <v>236</v>
      </c>
      <c r="C124">
        <v>2.21403504254525</v>
      </c>
      <c r="D124">
        <v>0.750666658083598</v>
      </c>
      <c r="E124" t="s">
        <v>162</v>
      </c>
      <c r="F124" t="s">
        <v>24</v>
      </c>
      <c r="G124">
        <v>3</v>
      </c>
      <c r="H124" t="s">
        <v>33</v>
      </c>
      <c r="I124">
        <v>5</v>
      </c>
      <c r="J124" t="s">
        <v>167</v>
      </c>
      <c r="K124">
        <v>26</v>
      </c>
      <c r="L124">
        <v>2.5500000000000002E-3</v>
      </c>
      <c r="M124">
        <v>2.5499999999999998</v>
      </c>
      <c r="N124">
        <v>2713.2782384133002</v>
      </c>
      <c r="O124">
        <v>0.26610998107514999</v>
      </c>
      <c r="P124">
        <v>6.9188595079539104</v>
      </c>
      <c r="Q124">
        <v>2.7132782384133001</v>
      </c>
    </row>
    <row r="125" spans="1:17" x14ac:dyDescent="0.25">
      <c r="A125">
        <v>1</v>
      </c>
      <c r="B125" t="s">
        <v>237</v>
      </c>
      <c r="C125">
        <v>0.90280694501441805</v>
      </c>
      <c r="D125">
        <v>0.50153331955273905</v>
      </c>
      <c r="E125" t="s">
        <v>162</v>
      </c>
      <c r="F125" t="s">
        <v>24</v>
      </c>
      <c r="G125">
        <v>4</v>
      </c>
      <c r="H125" t="s">
        <v>104</v>
      </c>
      <c r="I125">
        <v>4</v>
      </c>
      <c r="J125" t="s">
        <v>114</v>
      </c>
      <c r="K125">
        <v>10</v>
      </c>
      <c r="L125">
        <v>1.4499999999999999E-3</v>
      </c>
      <c r="M125">
        <v>1.45</v>
      </c>
      <c r="N125">
        <v>1945.7046228759</v>
      </c>
      <c r="O125">
        <v>0.28212717031700602</v>
      </c>
      <c r="P125">
        <v>2.8212717031700598</v>
      </c>
      <c r="Q125">
        <v>1.9457046228759001</v>
      </c>
    </row>
    <row r="126" spans="1:17" x14ac:dyDescent="0.25">
      <c r="A126">
        <v>1</v>
      </c>
      <c r="B126" t="s">
        <v>238</v>
      </c>
      <c r="C126">
        <v>2.4261403669390802</v>
      </c>
      <c r="D126">
        <v>0.790966669718424</v>
      </c>
      <c r="E126" t="s">
        <v>162</v>
      </c>
      <c r="F126" t="s">
        <v>24</v>
      </c>
      <c r="G126">
        <v>4</v>
      </c>
      <c r="H126" t="s">
        <v>104</v>
      </c>
      <c r="I126">
        <v>5</v>
      </c>
      <c r="J126" t="s">
        <v>76</v>
      </c>
      <c r="K126">
        <v>20</v>
      </c>
      <c r="L126">
        <v>2.5300000000000001E-3</v>
      </c>
      <c r="M126">
        <v>2.5299999999999998</v>
      </c>
      <c r="N126">
        <v>2996.7148801124999</v>
      </c>
      <c r="O126">
        <v>0.379084432334231</v>
      </c>
      <c r="P126">
        <v>7.5816886466846096</v>
      </c>
      <c r="Q126">
        <v>2.9967148801125001</v>
      </c>
    </row>
    <row r="127" spans="1:17" x14ac:dyDescent="0.25">
      <c r="A127">
        <v>1</v>
      </c>
      <c r="B127" t="s">
        <v>239</v>
      </c>
      <c r="C127">
        <v>0.51789473650748297</v>
      </c>
      <c r="D127">
        <v>0.42839999993642203</v>
      </c>
      <c r="E127" t="s">
        <v>162</v>
      </c>
      <c r="F127" t="s">
        <v>39</v>
      </c>
      <c r="G127">
        <v>3</v>
      </c>
      <c r="H127" t="s">
        <v>118</v>
      </c>
      <c r="I127">
        <v>1</v>
      </c>
      <c r="J127" t="s">
        <v>108</v>
      </c>
      <c r="K127">
        <v>9</v>
      </c>
      <c r="L127">
        <v>2.2599999999999999E-3</v>
      </c>
      <c r="M127">
        <v>2.2599999999999998</v>
      </c>
      <c r="N127">
        <v>716.11550955127598</v>
      </c>
      <c r="O127">
        <v>0.17982456128732</v>
      </c>
      <c r="P127">
        <v>1.6184210515858799</v>
      </c>
      <c r="Q127">
        <v>0.71611550955127601</v>
      </c>
    </row>
    <row r="128" spans="1:17" x14ac:dyDescent="0.25">
      <c r="A128">
        <v>1</v>
      </c>
      <c r="B128" t="s">
        <v>240</v>
      </c>
      <c r="C128">
        <v>0.42070178190867102</v>
      </c>
      <c r="D128">
        <v>0.40993333856264802</v>
      </c>
      <c r="E128" t="s">
        <v>162</v>
      </c>
      <c r="F128" t="s">
        <v>39</v>
      </c>
      <c r="G128">
        <v>3</v>
      </c>
      <c r="H128" t="s">
        <v>118</v>
      </c>
      <c r="I128">
        <v>2</v>
      </c>
      <c r="J128" t="s">
        <v>241</v>
      </c>
      <c r="K128">
        <v>6</v>
      </c>
      <c r="L128">
        <v>1.15E-3</v>
      </c>
      <c r="M128">
        <v>1.1499999999999999</v>
      </c>
      <c r="N128">
        <v>1143.21136388226</v>
      </c>
      <c r="O128">
        <v>0.21911551141076599</v>
      </c>
      <c r="P128">
        <v>1.3146930684646001</v>
      </c>
      <c r="Q128">
        <v>1.1432113638822601</v>
      </c>
    </row>
    <row r="129" spans="1:17" x14ac:dyDescent="0.25">
      <c r="A129">
        <v>1</v>
      </c>
      <c r="B129" t="s">
        <v>242</v>
      </c>
      <c r="C129">
        <v>1.36298256589655</v>
      </c>
      <c r="D129">
        <v>0.58896668752034498</v>
      </c>
      <c r="E129" t="s">
        <v>162</v>
      </c>
      <c r="F129" t="s">
        <v>39</v>
      </c>
      <c r="G129">
        <v>4</v>
      </c>
      <c r="H129" t="s">
        <v>50</v>
      </c>
      <c r="I129">
        <v>4</v>
      </c>
      <c r="J129" t="s">
        <v>76</v>
      </c>
      <c r="K129">
        <v>20</v>
      </c>
      <c r="L129">
        <v>2.48E-3</v>
      </c>
      <c r="M129">
        <v>2.48</v>
      </c>
      <c r="N129">
        <v>1717.4679509785201</v>
      </c>
      <c r="O129">
        <v>0.21296602592133601</v>
      </c>
      <c r="P129">
        <v>4.2593205184267298</v>
      </c>
      <c r="Q129">
        <v>1.71746795097852</v>
      </c>
    </row>
    <row r="130" spans="1:17" x14ac:dyDescent="0.25">
      <c r="A130">
        <v>1</v>
      </c>
      <c r="B130" t="s">
        <v>243</v>
      </c>
      <c r="C130">
        <v>0.437543858561599</v>
      </c>
      <c r="D130">
        <v>0.41313333312670403</v>
      </c>
      <c r="E130" t="s">
        <v>162</v>
      </c>
      <c r="F130" t="s">
        <v>39</v>
      </c>
      <c r="G130">
        <v>4</v>
      </c>
      <c r="H130" t="s">
        <v>50</v>
      </c>
      <c r="I130">
        <v>5</v>
      </c>
      <c r="J130" t="s">
        <v>241</v>
      </c>
      <c r="K130">
        <v>6</v>
      </c>
      <c r="L130">
        <v>1.3500000000000001E-3</v>
      </c>
      <c r="M130">
        <v>1.35</v>
      </c>
      <c r="N130">
        <v>1012.83300592963</v>
      </c>
      <c r="O130">
        <v>0.227887426334166</v>
      </c>
      <c r="P130">
        <v>1.367324558005</v>
      </c>
      <c r="Q130">
        <v>1.01283300592963</v>
      </c>
    </row>
    <row r="131" spans="1:17" x14ac:dyDescent="0.25">
      <c r="A131">
        <v>1</v>
      </c>
      <c r="B131" t="s">
        <v>244</v>
      </c>
      <c r="C131">
        <v>1.90842101030182</v>
      </c>
      <c r="D131">
        <v>0.69259999195734701</v>
      </c>
      <c r="E131" t="s">
        <v>162</v>
      </c>
      <c r="F131" t="s">
        <v>39</v>
      </c>
      <c r="G131">
        <v>5</v>
      </c>
      <c r="H131" t="s">
        <v>123</v>
      </c>
      <c r="I131">
        <v>5</v>
      </c>
      <c r="J131" t="s">
        <v>145</v>
      </c>
      <c r="K131">
        <v>32</v>
      </c>
      <c r="L131">
        <v>3.1199999999999999E-3</v>
      </c>
      <c r="M131">
        <v>3.12</v>
      </c>
      <c r="N131">
        <v>1911.4793773055101</v>
      </c>
      <c r="O131">
        <v>0.18636923928728799</v>
      </c>
      <c r="P131">
        <v>5.9638156571931997</v>
      </c>
      <c r="Q131">
        <v>1.9114793773055101</v>
      </c>
    </row>
    <row r="132" spans="1:17" x14ac:dyDescent="0.25">
      <c r="A132">
        <v>1</v>
      </c>
      <c r="B132" t="s">
        <v>245</v>
      </c>
      <c r="C132">
        <v>4.40614036928143</v>
      </c>
      <c r="D132">
        <v>1.16716667016347</v>
      </c>
      <c r="E132" t="s">
        <v>162</v>
      </c>
      <c r="F132" t="s">
        <v>13</v>
      </c>
      <c r="G132">
        <v>3</v>
      </c>
      <c r="H132" t="s">
        <v>19</v>
      </c>
      <c r="I132">
        <v>4</v>
      </c>
      <c r="J132" t="s">
        <v>169</v>
      </c>
      <c r="K132">
        <v>33</v>
      </c>
      <c r="L132">
        <v>3.49E-3</v>
      </c>
      <c r="M132">
        <v>3.49</v>
      </c>
      <c r="N132">
        <v>3945.3262618924</v>
      </c>
      <c r="O132">
        <v>0.417248141030439</v>
      </c>
      <c r="P132">
        <v>13.7691886540045</v>
      </c>
      <c r="Q132">
        <v>3.9453262618923999</v>
      </c>
    </row>
    <row r="133" spans="1:17" x14ac:dyDescent="0.25">
      <c r="A133">
        <v>1</v>
      </c>
      <c r="B133" t="s">
        <v>246</v>
      </c>
      <c r="C133">
        <v>2.64614042901156</v>
      </c>
      <c r="D133">
        <v>0.82276668151219701</v>
      </c>
      <c r="E133" t="s">
        <v>162</v>
      </c>
      <c r="F133" t="s">
        <v>13</v>
      </c>
      <c r="G133">
        <v>5</v>
      </c>
      <c r="H133" t="s">
        <v>135</v>
      </c>
      <c r="I133">
        <v>4</v>
      </c>
      <c r="J133" t="s">
        <v>28</v>
      </c>
      <c r="K133">
        <v>22</v>
      </c>
      <c r="L133">
        <v>2.2100000000000002E-3</v>
      </c>
      <c r="M133">
        <v>2.21</v>
      </c>
      <c r="N133">
        <v>3741.7144075389701</v>
      </c>
      <c r="O133">
        <v>0.375872220030051</v>
      </c>
      <c r="P133">
        <v>8.2691888406611298</v>
      </c>
      <c r="Q133">
        <v>3.7417144075389701</v>
      </c>
    </row>
    <row r="134" spans="1:17" x14ac:dyDescent="0.25">
      <c r="A134">
        <v>1</v>
      </c>
      <c r="B134" t="s">
        <v>247</v>
      </c>
      <c r="C134">
        <v>1.8677192445386901</v>
      </c>
      <c r="D134">
        <v>0.674866656462351</v>
      </c>
      <c r="E134" t="s">
        <v>162</v>
      </c>
      <c r="F134" t="s">
        <v>13</v>
      </c>
      <c r="G134">
        <v>5</v>
      </c>
      <c r="H134" t="s">
        <v>135</v>
      </c>
      <c r="I134">
        <v>5</v>
      </c>
      <c r="J134" t="s">
        <v>241</v>
      </c>
      <c r="K134">
        <v>6</v>
      </c>
      <c r="L134">
        <v>1.3600000000000001E-3</v>
      </c>
      <c r="M134">
        <v>1.36</v>
      </c>
      <c r="N134">
        <v>4291.6342935172097</v>
      </c>
      <c r="O134">
        <v>0.97277043986390199</v>
      </c>
      <c r="P134">
        <v>5.8366226391834104</v>
      </c>
      <c r="Q134">
        <v>4.2916342935172098</v>
      </c>
    </row>
    <row r="135" spans="1:17" x14ac:dyDescent="0.25">
      <c r="A135">
        <v>1</v>
      </c>
      <c r="B135" t="s">
        <v>248</v>
      </c>
      <c r="C135">
        <v>2.6347368056314</v>
      </c>
      <c r="D135">
        <v>0.820599993069967</v>
      </c>
      <c r="E135" t="s">
        <v>162</v>
      </c>
      <c r="F135" t="s">
        <v>13</v>
      </c>
      <c r="G135">
        <v>6</v>
      </c>
      <c r="H135" t="s">
        <v>185</v>
      </c>
      <c r="I135">
        <v>3</v>
      </c>
      <c r="J135" t="s">
        <v>249</v>
      </c>
      <c r="K135">
        <v>21</v>
      </c>
      <c r="L135">
        <v>2.4299999999999999E-3</v>
      </c>
      <c r="M135">
        <v>2.4300000000000002</v>
      </c>
      <c r="N135">
        <v>3388.2932171185698</v>
      </c>
      <c r="O135">
        <v>0.39207392940943497</v>
      </c>
      <c r="P135">
        <v>8.2335525175981292</v>
      </c>
      <c r="Q135">
        <v>3.3882932171185698</v>
      </c>
    </row>
    <row r="136" spans="1:17" x14ac:dyDescent="0.25">
      <c r="A136">
        <v>1</v>
      </c>
      <c r="B136" t="s">
        <v>250</v>
      </c>
      <c r="C136">
        <v>1.23947363569025</v>
      </c>
      <c r="D136">
        <v>0.55549999078114798</v>
      </c>
      <c r="E136" t="s">
        <v>162</v>
      </c>
      <c r="F136" t="s">
        <v>13</v>
      </c>
      <c r="G136">
        <v>6</v>
      </c>
      <c r="H136" t="s">
        <v>185</v>
      </c>
      <c r="I136">
        <v>4</v>
      </c>
      <c r="J136" t="s">
        <v>114</v>
      </c>
      <c r="K136">
        <v>10</v>
      </c>
      <c r="L136">
        <v>1.5100000000000001E-3</v>
      </c>
      <c r="M136">
        <v>1.51</v>
      </c>
      <c r="N136">
        <v>2565.1358354516801</v>
      </c>
      <c r="O136">
        <v>0.38733551115320403</v>
      </c>
      <c r="P136">
        <v>3.8733551115320402</v>
      </c>
      <c r="Q136">
        <v>2.56513583545168</v>
      </c>
    </row>
    <row r="137" spans="1:17" x14ac:dyDescent="0.25">
      <c r="A137">
        <v>1</v>
      </c>
      <c r="B137" t="s">
        <v>251</v>
      </c>
      <c r="C137">
        <v>2.5394736298343599</v>
      </c>
      <c r="D137">
        <v>0.80249998966852798</v>
      </c>
      <c r="E137" t="s">
        <v>162</v>
      </c>
      <c r="F137" t="s">
        <v>24</v>
      </c>
      <c r="G137">
        <v>5</v>
      </c>
      <c r="H137" t="s">
        <v>36</v>
      </c>
      <c r="I137">
        <v>1</v>
      </c>
      <c r="J137" t="s">
        <v>198</v>
      </c>
      <c r="K137">
        <v>34</v>
      </c>
      <c r="L137">
        <v>2.5600000000000002E-3</v>
      </c>
      <c r="M137">
        <v>2.56</v>
      </c>
      <c r="N137">
        <v>3099.94339579389</v>
      </c>
      <c r="O137">
        <v>0.23340750274212901</v>
      </c>
      <c r="P137">
        <v>7.9358550932323704</v>
      </c>
      <c r="Q137">
        <v>3.0999433957939</v>
      </c>
    </row>
    <row r="138" spans="1:17" x14ac:dyDescent="0.25">
      <c r="A138">
        <v>1</v>
      </c>
      <c r="B138" t="s">
        <v>252</v>
      </c>
      <c r="C138">
        <v>2.5817543414601101</v>
      </c>
      <c r="D138">
        <v>0.81053332487742102</v>
      </c>
      <c r="E138" t="s">
        <v>162</v>
      </c>
      <c r="F138" t="s">
        <v>24</v>
      </c>
      <c r="G138">
        <v>5</v>
      </c>
      <c r="H138" t="s">
        <v>36</v>
      </c>
      <c r="I138">
        <v>2</v>
      </c>
      <c r="J138" t="s">
        <v>167</v>
      </c>
      <c r="K138">
        <v>26</v>
      </c>
      <c r="L138">
        <v>4.3200000000000001E-3</v>
      </c>
      <c r="M138">
        <v>4.32</v>
      </c>
      <c r="N138">
        <v>1867.5884993201</v>
      </c>
      <c r="O138">
        <v>0.31030701219472501</v>
      </c>
      <c r="P138">
        <v>8.0679823170628495</v>
      </c>
      <c r="Q138">
        <v>1.8675884993201</v>
      </c>
    </row>
    <row r="139" spans="1:17" x14ac:dyDescent="0.25">
      <c r="A139">
        <v>1</v>
      </c>
      <c r="B139" t="s">
        <v>253</v>
      </c>
      <c r="C139">
        <v>2.0442105845401199</v>
      </c>
      <c r="D139">
        <v>0.70840001106262196</v>
      </c>
      <c r="E139" t="s">
        <v>162</v>
      </c>
      <c r="F139" t="s">
        <v>24</v>
      </c>
      <c r="G139">
        <v>5</v>
      </c>
      <c r="H139" t="s">
        <v>36</v>
      </c>
      <c r="I139">
        <v>4</v>
      </c>
      <c r="J139" t="s">
        <v>80</v>
      </c>
      <c r="K139">
        <v>15</v>
      </c>
      <c r="L139">
        <v>2.3700000000000001E-3</v>
      </c>
      <c r="M139">
        <v>2.37</v>
      </c>
      <c r="N139">
        <v>2695.42534881344</v>
      </c>
      <c r="O139">
        <v>0.42587720511252403</v>
      </c>
      <c r="P139">
        <v>6.3881580766878603</v>
      </c>
      <c r="Q139">
        <v>2.6954253488134401</v>
      </c>
    </row>
    <row r="140" spans="1:17" x14ac:dyDescent="0.25">
      <c r="A140">
        <v>1</v>
      </c>
      <c r="B140" t="s">
        <v>254</v>
      </c>
      <c r="C140">
        <v>1.9933333145944701</v>
      </c>
      <c r="D140">
        <v>0.698733329772949</v>
      </c>
      <c r="E140" t="s">
        <v>162</v>
      </c>
      <c r="F140" t="s">
        <v>24</v>
      </c>
      <c r="G140">
        <v>5</v>
      </c>
      <c r="H140" t="s">
        <v>36</v>
      </c>
      <c r="I140">
        <v>5</v>
      </c>
      <c r="J140" t="s">
        <v>80</v>
      </c>
      <c r="K140">
        <v>15</v>
      </c>
      <c r="L140">
        <v>1.9499999999999999E-3</v>
      </c>
      <c r="M140">
        <v>1.95</v>
      </c>
      <c r="N140">
        <v>3194.4444144142099</v>
      </c>
      <c r="O140">
        <v>0.41527777387384801</v>
      </c>
      <c r="P140">
        <v>6.2291666081077199</v>
      </c>
      <c r="Q140">
        <v>3.1944444144142099</v>
      </c>
    </row>
    <row r="141" spans="1:17" x14ac:dyDescent="0.25">
      <c r="A141">
        <v>1</v>
      </c>
      <c r="B141" t="s">
        <v>255</v>
      </c>
      <c r="C141">
        <v>2.2978947497250699</v>
      </c>
      <c r="D141">
        <v>0.75660000244776404</v>
      </c>
      <c r="E141" t="s">
        <v>162</v>
      </c>
      <c r="F141" t="s">
        <v>24</v>
      </c>
      <c r="G141">
        <v>6</v>
      </c>
      <c r="H141" t="s">
        <v>110</v>
      </c>
      <c r="I141">
        <v>1</v>
      </c>
      <c r="J141" t="s">
        <v>256</v>
      </c>
      <c r="K141">
        <v>16</v>
      </c>
      <c r="L141">
        <v>1.8699999999999999E-3</v>
      </c>
      <c r="M141">
        <v>1.87</v>
      </c>
      <c r="N141">
        <v>3840.0647555566102</v>
      </c>
      <c r="O141">
        <v>0.44880756830567903</v>
      </c>
      <c r="P141">
        <v>7.18092109289086</v>
      </c>
      <c r="Q141">
        <v>3.8400647555566101</v>
      </c>
    </row>
    <row r="142" spans="1:17" x14ac:dyDescent="0.25">
      <c r="A142">
        <v>1</v>
      </c>
      <c r="B142" t="s">
        <v>257</v>
      </c>
      <c r="C142">
        <v>1.6459649738512501</v>
      </c>
      <c r="D142">
        <v>0.63273334503173795</v>
      </c>
      <c r="E142" t="s">
        <v>162</v>
      </c>
      <c r="F142" t="s">
        <v>24</v>
      </c>
      <c r="G142">
        <v>6</v>
      </c>
      <c r="H142" t="s">
        <v>110</v>
      </c>
      <c r="I142">
        <v>4</v>
      </c>
      <c r="J142" t="s">
        <v>31</v>
      </c>
      <c r="K142">
        <v>13</v>
      </c>
      <c r="L142">
        <v>2.7599999999999999E-3</v>
      </c>
      <c r="M142">
        <v>2.76</v>
      </c>
      <c r="N142">
        <v>1863.6378780018699</v>
      </c>
      <c r="O142">
        <v>0.39566465717578198</v>
      </c>
      <c r="P142">
        <v>5.1436405432851702</v>
      </c>
      <c r="Q142">
        <v>1.8636378780018701</v>
      </c>
    </row>
    <row r="143" spans="1:17" x14ac:dyDescent="0.25">
      <c r="A143">
        <v>1</v>
      </c>
      <c r="B143" t="s">
        <v>258</v>
      </c>
      <c r="C143">
        <v>0.75035086221862302</v>
      </c>
      <c r="D143">
        <v>0.46256666382153799</v>
      </c>
      <c r="E143" t="s">
        <v>162</v>
      </c>
      <c r="F143" t="s">
        <v>39</v>
      </c>
      <c r="G143">
        <v>6</v>
      </c>
      <c r="H143" t="s">
        <v>55</v>
      </c>
      <c r="I143">
        <v>3</v>
      </c>
      <c r="J143" t="s">
        <v>111</v>
      </c>
      <c r="K143">
        <v>11</v>
      </c>
      <c r="L143">
        <v>2.3500000000000001E-3</v>
      </c>
      <c r="M143">
        <v>2.35</v>
      </c>
      <c r="N143">
        <v>997.80699763114706</v>
      </c>
      <c r="O143">
        <v>0.213167858584836</v>
      </c>
      <c r="P143">
        <v>2.3448464444332</v>
      </c>
      <c r="Q143">
        <v>0.997806997631147</v>
      </c>
    </row>
    <row r="144" spans="1:17" x14ac:dyDescent="0.25">
      <c r="A144">
        <v>1</v>
      </c>
      <c r="B144" t="s">
        <v>259</v>
      </c>
      <c r="C144">
        <v>0.56491228990387499</v>
      </c>
      <c r="D144">
        <v>0.42733333508173599</v>
      </c>
      <c r="E144" t="s">
        <v>162</v>
      </c>
      <c r="F144" t="s">
        <v>39</v>
      </c>
      <c r="G144">
        <v>6</v>
      </c>
      <c r="H144" t="s">
        <v>55</v>
      </c>
      <c r="I144">
        <v>4</v>
      </c>
      <c r="J144" t="s">
        <v>31</v>
      </c>
      <c r="K144">
        <v>13</v>
      </c>
      <c r="L144">
        <v>1.6999999999999999E-3</v>
      </c>
      <c r="M144">
        <v>1.7</v>
      </c>
      <c r="N144">
        <v>1038.4417093821201</v>
      </c>
      <c r="O144">
        <v>0.13579622353458501</v>
      </c>
      <c r="P144">
        <v>1.76535090594961</v>
      </c>
      <c r="Q144">
        <v>1.0384417093821201</v>
      </c>
    </row>
    <row r="145" spans="1:17" x14ac:dyDescent="0.25">
      <c r="A145">
        <v>1</v>
      </c>
      <c r="B145" t="s">
        <v>260</v>
      </c>
      <c r="C145">
        <v>0.88999999615184</v>
      </c>
      <c r="D145">
        <v>0.48909999926885001</v>
      </c>
      <c r="E145" t="s">
        <v>162</v>
      </c>
      <c r="F145" t="s">
        <v>39</v>
      </c>
      <c r="G145">
        <v>6</v>
      </c>
      <c r="H145" t="s">
        <v>55</v>
      </c>
      <c r="I145">
        <v>5</v>
      </c>
      <c r="J145" t="s">
        <v>80</v>
      </c>
      <c r="K145">
        <v>15</v>
      </c>
      <c r="L145">
        <v>2.6199999999999999E-3</v>
      </c>
      <c r="M145">
        <v>2.62</v>
      </c>
      <c r="N145">
        <v>1061.5457969368299</v>
      </c>
      <c r="O145">
        <v>0.185416665864967</v>
      </c>
      <c r="P145">
        <v>2.7812499879744998</v>
      </c>
      <c r="Q145">
        <v>1.06154579693683</v>
      </c>
    </row>
    <row r="146" spans="1:17" x14ac:dyDescent="0.25">
      <c r="A146">
        <v>1</v>
      </c>
      <c r="B146" t="s">
        <v>261</v>
      </c>
      <c r="C146">
        <v>9.4282351849125892</v>
      </c>
      <c r="D146">
        <v>0.71069999535878503</v>
      </c>
      <c r="E146" t="s">
        <v>162</v>
      </c>
      <c r="F146" t="s">
        <v>13</v>
      </c>
      <c r="G146">
        <v>1</v>
      </c>
      <c r="H146" t="s">
        <v>14</v>
      </c>
      <c r="I146">
        <v>1</v>
      </c>
      <c r="J146" t="s">
        <v>262</v>
      </c>
      <c r="K146">
        <v>70</v>
      </c>
      <c r="L146">
        <v>4.64E-3</v>
      </c>
      <c r="M146">
        <v>4.6399999999999997</v>
      </c>
      <c r="N146">
        <v>6349.8351191491001</v>
      </c>
      <c r="O146">
        <v>0.42090335646931198</v>
      </c>
      <c r="P146">
        <v>29.463234952851799</v>
      </c>
      <c r="Q146">
        <v>6.3498351191491</v>
      </c>
    </row>
    <row r="147" spans="1:17" x14ac:dyDescent="0.25">
      <c r="A147">
        <v>1</v>
      </c>
      <c r="B147" t="s">
        <v>263</v>
      </c>
      <c r="C147">
        <v>10.099607411552901</v>
      </c>
      <c r="D147">
        <v>0.73923331499099698</v>
      </c>
      <c r="E147" t="s">
        <v>162</v>
      </c>
      <c r="F147" t="s">
        <v>13</v>
      </c>
      <c r="G147">
        <v>1</v>
      </c>
      <c r="H147" t="s">
        <v>14</v>
      </c>
      <c r="I147">
        <v>2</v>
      </c>
      <c r="J147" t="s">
        <v>264</v>
      </c>
      <c r="K147">
        <v>113</v>
      </c>
      <c r="L147">
        <v>1.001E-2</v>
      </c>
      <c r="M147">
        <v>10.01</v>
      </c>
      <c r="N147">
        <v>3152.9743417685099</v>
      </c>
      <c r="O147">
        <v>0.27930330231064399</v>
      </c>
      <c r="P147">
        <v>31.561273161102701</v>
      </c>
      <c r="Q147">
        <v>3.1529743417685099</v>
      </c>
    </row>
    <row r="148" spans="1:17" x14ac:dyDescent="0.25">
      <c r="A148">
        <v>1</v>
      </c>
      <c r="B148" t="s">
        <v>161</v>
      </c>
      <c r="C148">
        <v>4.1411765042473299</v>
      </c>
      <c r="D148">
        <v>0.48600000143051098</v>
      </c>
      <c r="E148" t="s">
        <v>162</v>
      </c>
      <c r="F148" t="s">
        <v>13</v>
      </c>
      <c r="G148">
        <v>1</v>
      </c>
      <c r="H148" t="s">
        <v>14</v>
      </c>
      <c r="I148">
        <v>3</v>
      </c>
      <c r="J148" t="s">
        <v>163</v>
      </c>
      <c r="K148">
        <v>37</v>
      </c>
      <c r="L148">
        <v>2.66E-3</v>
      </c>
      <c r="M148">
        <v>2.66</v>
      </c>
      <c r="N148">
        <v>4865.1039758544703</v>
      </c>
      <c r="O148">
        <v>0.34976152907494301</v>
      </c>
      <c r="P148">
        <v>12.9411765757729</v>
      </c>
      <c r="Q148">
        <v>4.8651039758544696</v>
      </c>
    </row>
    <row r="149" spans="1:17" x14ac:dyDescent="0.25">
      <c r="A149">
        <v>1</v>
      </c>
      <c r="B149" t="s">
        <v>265</v>
      </c>
      <c r="C149">
        <v>3.4996077406640098</v>
      </c>
      <c r="D149">
        <v>0.60746665795644095</v>
      </c>
      <c r="E149" t="s">
        <v>162</v>
      </c>
      <c r="F149" t="s">
        <v>13</v>
      </c>
      <c r="G149">
        <v>1</v>
      </c>
      <c r="H149" t="s">
        <v>14</v>
      </c>
      <c r="I149">
        <v>4</v>
      </c>
      <c r="J149" t="s">
        <v>28</v>
      </c>
      <c r="K149">
        <v>22</v>
      </c>
      <c r="L149">
        <v>2.5300000000000001E-3</v>
      </c>
      <c r="M149">
        <v>2.5299999999999998</v>
      </c>
      <c r="N149">
        <v>4322.6380195948796</v>
      </c>
      <c r="O149">
        <v>0.497103372253411</v>
      </c>
      <c r="P149">
        <v>10.936274189575</v>
      </c>
      <c r="Q149">
        <v>4.3226380195948799</v>
      </c>
    </row>
    <row r="150" spans="1:17" x14ac:dyDescent="0.25">
      <c r="A150">
        <v>1</v>
      </c>
      <c r="B150" t="s">
        <v>228</v>
      </c>
      <c r="C150">
        <v>0.54980402366787795</v>
      </c>
      <c r="D150">
        <v>0.35673334201176998</v>
      </c>
      <c r="E150" t="s">
        <v>162</v>
      </c>
      <c r="F150" t="s">
        <v>13</v>
      </c>
      <c r="G150">
        <v>2</v>
      </c>
      <c r="H150" t="s">
        <v>62</v>
      </c>
      <c r="I150">
        <v>4</v>
      </c>
      <c r="J150" t="s">
        <v>229</v>
      </c>
      <c r="K150">
        <v>4</v>
      </c>
      <c r="L150">
        <v>3.6000000000000002E-4</v>
      </c>
      <c r="M150">
        <v>0.36</v>
      </c>
      <c r="N150">
        <v>4772.6043721169999</v>
      </c>
      <c r="O150">
        <v>0.42953439349053002</v>
      </c>
      <c r="P150">
        <v>1.7181375739621201</v>
      </c>
      <c r="Q150">
        <v>4.7726043721169997</v>
      </c>
    </row>
    <row r="151" spans="1:17" x14ac:dyDescent="0.25">
      <c r="A151">
        <v>1</v>
      </c>
      <c r="B151" t="s">
        <v>230</v>
      </c>
      <c r="C151">
        <v>0.56509810802983296</v>
      </c>
      <c r="D151">
        <v>0.35803333918253599</v>
      </c>
      <c r="E151" t="s">
        <v>162</v>
      </c>
      <c r="F151" t="s">
        <v>13</v>
      </c>
      <c r="G151">
        <v>2</v>
      </c>
      <c r="H151" t="s">
        <v>62</v>
      </c>
      <c r="I151">
        <v>5</v>
      </c>
      <c r="J151" t="s">
        <v>37</v>
      </c>
      <c r="K151">
        <v>7</v>
      </c>
      <c r="L151">
        <v>8.4000000000000003E-4</v>
      </c>
      <c r="M151">
        <v>0.84</v>
      </c>
      <c r="N151">
        <v>2102.2995090395598</v>
      </c>
      <c r="O151">
        <v>0.25227594108474699</v>
      </c>
      <c r="P151">
        <v>1.76593158759323</v>
      </c>
      <c r="Q151">
        <v>2.1022995090395602</v>
      </c>
    </row>
    <row r="152" spans="1:17" x14ac:dyDescent="0.25">
      <c r="A152">
        <v>1</v>
      </c>
      <c r="B152" t="s">
        <v>266</v>
      </c>
      <c r="C152">
        <v>4.33843115264294</v>
      </c>
      <c r="D152">
        <v>0.67876664797465003</v>
      </c>
      <c r="E152" t="s">
        <v>162</v>
      </c>
      <c r="F152" t="s">
        <v>13</v>
      </c>
      <c r="G152">
        <v>4</v>
      </c>
      <c r="H152" t="s">
        <v>71</v>
      </c>
      <c r="I152">
        <v>2</v>
      </c>
      <c r="J152" t="s">
        <v>267</v>
      </c>
      <c r="K152">
        <v>25</v>
      </c>
      <c r="L152">
        <v>2.2699999999999999E-3</v>
      </c>
      <c r="M152">
        <v>2.27</v>
      </c>
      <c r="N152">
        <v>5972.5098467000898</v>
      </c>
      <c r="O152">
        <v>0.54230389408036805</v>
      </c>
      <c r="P152">
        <v>13.5575973520092</v>
      </c>
      <c r="Q152">
        <v>5.9725098467000901</v>
      </c>
    </row>
    <row r="153" spans="1:17" x14ac:dyDescent="0.25">
      <c r="A153">
        <v>1</v>
      </c>
      <c r="B153" t="s">
        <v>268</v>
      </c>
      <c r="C153">
        <v>3.79921574686088</v>
      </c>
      <c r="D153">
        <v>0.63293333848317501</v>
      </c>
      <c r="E153" t="s">
        <v>162</v>
      </c>
      <c r="F153" t="s">
        <v>24</v>
      </c>
      <c r="G153">
        <v>3</v>
      </c>
      <c r="H153" t="s">
        <v>33</v>
      </c>
      <c r="I153">
        <v>4</v>
      </c>
      <c r="J153" t="s">
        <v>235</v>
      </c>
      <c r="K153">
        <v>30</v>
      </c>
      <c r="L153">
        <v>3.4199999999999999E-3</v>
      </c>
      <c r="M153">
        <v>3.42</v>
      </c>
      <c r="N153">
        <v>3471.50561664919</v>
      </c>
      <c r="O153">
        <v>0.39575164029800802</v>
      </c>
      <c r="P153">
        <v>11.8725492089402</v>
      </c>
      <c r="Q153">
        <v>3.47150561664919</v>
      </c>
    </row>
    <row r="154" spans="1:17" x14ac:dyDescent="0.25">
      <c r="A154">
        <v>1</v>
      </c>
      <c r="B154" t="s">
        <v>269</v>
      </c>
      <c r="C154">
        <v>4.8898040360095498</v>
      </c>
      <c r="D154">
        <v>0.72563334306081095</v>
      </c>
      <c r="E154" t="s">
        <v>162</v>
      </c>
      <c r="F154" t="s">
        <v>39</v>
      </c>
      <c r="G154">
        <v>1</v>
      </c>
      <c r="H154" t="s">
        <v>40</v>
      </c>
      <c r="I154">
        <v>4</v>
      </c>
      <c r="J154" t="s">
        <v>270</v>
      </c>
      <c r="K154">
        <v>47</v>
      </c>
      <c r="L154">
        <v>2.9399999999999999E-3</v>
      </c>
      <c r="M154">
        <v>2.94</v>
      </c>
      <c r="N154">
        <v>5197.4957865747701</v>
      </c>
      <c r="O154">
        <v>0.32511994920276199</v>
      </c>
      <c r="P154">
        <v>15.2806376125298</v>
      </c>
      <c r="Q154">
        <v>5.1974957865747697</v>
      </c>
    </row>
    <row r="155" spans="1:17" x14ac:dyDescent="0.25">
      <c r="A155">
        <v>1</v>
      </c>
      <c r="B155" t="s">
        <v>271</v>
      </c>
      <c r="C155">
        <v>3.3529410455741102</v>
      </c>
      <c r="D155">
        <v>0.59499998887380001</v>
      </c>
      <c r="E155" t="s">
        <v>162</v>
      </c>
      <c r="F155" t="s">
        <v>39</v>
      </c>
      <c r="G155">
        <v>1</v>
      </c>
      <c r="H155" t="s">
        <v>40</v>
      </c>
      <c r="I155">
        <v>5</v>
      </c>
      <c r="J155" t="s">
        <v>235</v>
      </c>
      <c r="K155">
        <v>30</v>
      </c>
      <c r="L155">
        <v>2.2699999999999999E-3</v>
      </c>
      <c r="M155">
        <v>2.27</v>
      </c>
      <c r="N155">
        <v>4615.8329371890304</v>
      </c>
      <c r="O155">
        <v>0.349264692247303</v>
      </c>
      <c r="P155">
        <v>10.477940767419099</v>
      </c>
      <c r="Q155">
        <v>4.6158329371890296</v>
      </c>
    </row>
    <row r="156" spans="1:17" x14ac:dyDescent="0.25">
      <c r="A156">
        <v>1</v>
      </c>
      <c r="B156" t="s">
        <v>272</v>
      </c>
      <c r="C156">
        <v>4.9023530342999599</v>
      </c>
      <c r="D156">
        <v>0.72670000791549705</v>
      </c>
      <c r="E156" t="s">
        <v>162</v>
      </c>
      <c r="F156" t="s">
        <v>39</v>
      </c>
      <c r="G156">
        <v>5</v>
      </c>
      <c r="H156" t="s">
        <v>123</v>
      </c>
      <c r="I156">
        <v>4</v>
      </c>
      <c r="J156" t="s">
        <v>273</v>
      </c>
      <c r="K156">
        <v>64</v>
      </c>
      <c r="L156">
        <v>4.4999999999999997E-3</v>
      </c>
      <c r="M156">
        <v>4.5</v>
      </c>
      <c r="N156">
        <v>3404.4118293749698</v>
      </c>
      <c r="O156">
        <v>0.23937270675292799</v>
      </c>
      <c r="P156">
        <v>15.3198532321874</v>
      </c>
      <c r="Q156">
        <v>3.4044118293749701</v>
      </c>
    </row>
    <row r="157" spans="1:17" x14ac:dyDescent="0.25">
      <c r="A157">
        <v>1</v>
      </c>
      <c r="B157" t="s">
        <v>274</v>
      </c>
      <c r="C157">
        <v>4.7737255096435502</v>
      </c>
      <c r="D157">
        <v>0.71576666831970204</v>
      </c>
      <c r="E157" t="s">
        <v>12</v>
      </c>
      <c r="F157" t="s">
        <v>13</v>
      </c>
      <c r="G157">
        <v>4</v>
      </c>
      <c r="H157" t="s">
        <v>71</v>
      </c>
      <c r="I157">
        <v>1</v>
      </c>
      <c r="J157" t="s">
        <v>275</v>
      </c>
      <c r="K157">
        <v>26.5</v>
      </c>
      <c r="L157">
        <v>3.5100000000000001E-3</v>
      </c>
      <c r="M157">
        <v>3.51</v>
      </c>
      <c r="N157">
        <v>4250.1117429162696</v>
      </c>
      <c r="O157">
        <v>0.56293932896739995</v>
      </c>
      <c r="P157">
        <v>14.9178922176361</v>
      </c>
      <c r="Q157">
        <v>4.2501117429162703</v>
      </c>
    </row>
    <row r="158" spans="1:17" x14ac:dyDescent="0.25">
      <c r="A158">
        <v>1</v>
      </c>
      <c r="B158" t="s">
        <v>276</v>
      </c>
      <c r="C158">
        <v>6.0039216677347804</v>
      </c>
      <c r="D158">
        <v>0.82033334175745598</v>
      </c>
      <c r="E158" t="s">
        <v>12</v>
      </c>
      <c r="F158" t="s">
        <v>13</v>
      </c>
      <c r="G158">
        <v>5</v>
      </c>
      <c r="H158" t="s">
        <v>135</v>
      </c>
      <c r="I158">
        <v>2</v>
      </c>
      <c r="J158" t="s">
        <v>277</v>
      </c>
      <c r="K158">
        <v>16.22</v>
      </c>
      <c r="L158">
        <v>2.65E-3</v>
      </c>
      <c r="M158">
        <v>2.65</v>
      </c>
      <c r="N158">
        <v>7080.0963062910196</v>
      </c>
      <c r="O158">
        <v>1.1567358330253501</v>
      </c>
      <c r="P158">
        <v>18.762255211671199</v>
      </c>
      <c r="Q158">
        <v>7.0800963062910096</v>
      </c>
    </row>
    <row r="159" spans="1:17" x14ac:dyDescent="0.25">
      <c r="A159">
        <v>1</v>
      </c>
      <c r="B159" t="s">
        <v>278</v>
      </c>
      <c r="C159">
        <v>5.3109802732280604</v>
      </c>
      <c r="D159">
        <v>0.76143332322438595</v>
      </c>
      <c r="E159" t="s">
        <v>12</v>
      </c>
      <c r="F159" t="s">
        <v>24</v>
      </c>
      <c r="G159">
        <v>2</v>
      </c>
      <c r="H159" t="s">
        <v>30</v>
      </c>
      <c r="I159">
        <v>1</v>
      </c>
      <c r="J159" t="s">
        <v>205</v>
      </c>
      <c r="K159">
        <v>31</v>
      </c>
      <c r="L159">
        <v>3.5300000000000002E-3</v>
      </c>
      <c r="M159">
        <v>3.53</v>
      </c>
      <c r="N159">
        <v>4701.6468424469404</v>
      </c>
      <c r="O159">
        <v>0.53538107593024897</v>
      </c>
      <c r="P159">
        <v>16.5968133538377</v>
      </c>
      <c r="Q159">
        <v>4.70164684244694</v>
      </c>
    </row>
    <row r="160" spans="1:17" x14ac:dyDescent="0.25">
      <c r="A160">
        <v>1</v>
      </c>
      <c r="B160" t="s">
        <v>101</v>
      </c>
      <c r="C160">
        <v>4.6505881571302199</v>
      </c>
      <c r="D160">
        <v>0.70529999335606897</v>
      </c>
      <c r="E160" t="s">
        <v>12</v>
      </c>
      <c r="F160" t="s">
        <v>24</v>
      </c>
      <c r="G160">
        <v>3</v>
      </c>
      <c r="H160" t="s">
        <v>33</v>
      </c>
      <c r="I160">
        <v>4</v>
      </c>
      <c r="J160" t="s">
        <v>102</v>
      </c>
      <c r="K160">
        <v>24</v>
      </c>
      <c r="L160">
        <v>3.16E-3</v>
      </c>
      <c r="M160">
        <v>3.16</v>
      </c>
      <c r="N160">
        <v>4599.0784781746697</v>
      </c>
      <c r="O160">
        <v>0.60554533295966395</v>
      </c>
      <c r="P160">
        <v>14.5330879910319</v>
      </c>
      <c r="Q160">
        <v>4.5990784781746701</v>
      </c>
    </row>
    <row r="161" spans="1:17" x14ac:dyDescent="0.25">
      <c r="A161">
        <v>1</v>
      </c>
      <c r="B161" t="s">
        <v>279</v>
      </c>
      <c r="C161">
        <v>4.43725495244942</v>
      </c>
      <c r="D161">
        <v>0.68716667095820105</v>
      </c>
      <c r="E161" t="s">
        <v>12</v>
      </c>
      <c r="F161" t="s">
        <v>24</v>
      </c>
      <c r="G161">
        <v>5</v>
      </c>
      <c r="H161" t="s">
        <v>36</v>
      </c>
      <c r="I161">
        <v>1</v>
      </c>
      <c r="J161" t="s">
        <v>256</v>
      </c>
      <c r="K161">
        <v>16</v>
      </c>
      <c r="L161">
        <v>2.9099999999999998E-3</v>
      </c>
      <c r="M161">
        <v>2.91</v>
      </c>
      <c r="N161">
        <v>4765.0933767712904</v>
      </c>
      <c r="O161">
        <v>0.86665135790027803</v>
      </c>
      <c r="P161">
        <v>13.8664217264045</v>
      </c>
      <c r="Q161">
        <v>4.76509337677129</v>
      </c>
    </row>
    <row r="162" spans="1:17" x14ac:dyDescent="0.25">
      <c r="A162">
        <v>1</v>
      </c>
      <c r="B162" t="s">
        <v>280</v>
      </c>
      <c r="C162">
        <v>5.3470834096272801</v>
      </c>
      <c r="D162">
        <v>0.72776667277018203</v>
      </c>
      <c r="E162" t="s">
        <v>162</v>
      </c>
      <c r="F162" t="s">
        <v>13</v>
      </c>
      <c r="G162">
        <v>4</v>
      </c>
      <c r="H162" t="s">
        <v>71</v>
      </c>
      <c r="I162">
        <v>4</v>
      </c>
      <c r="J162" t="s">
        <v>198</v>
      </c>
      <c r="K162">
        <v>34</v>
      </c>
      <c r="L162">
        <v>2.9499999999999999E-3</v>
      </c>
      <c r="M162">
        <v>2.95</v>
      </c>
      <c r="N162">
        <v>5664.2832729102502</v>
      </c>
      <c r="O162">
        <v>0.49145987220838899</v>
      </c>
      <c r="P162">
        <v>16.709635655085201</v>
      </c>
      <c r="Q162">
        <v>5.6642832729102501</v>
      </c>
    </row>
    <row r="163" spans="1:17" x14ac:dyDescent="0.25">
      <c r="A163">
        <v>1</v>
      </c>
      <c r="B163" t="s">
        <v>281</v>
      </c>
      <c r="C163">
        <v>3.6754167576630898</v>
      </c>
      <c r="D163">
        <v>0.59403334061304702</v>
      </c>
      <c r="E163" t="s">
        <v>162</v>
      </c>
      <c r="F163" t="s">
        <v>13</v>
      </c>
      <c r="G163">
        <v>4</v>
      </c>
      <c r="H163" t="s">
        <v>71</v>
      </c>
      <c r="I163">
        <v>5</v>
      </c>
      <c r="J163" t="s">
        <v>34</v>
      </c>
      <c r="K163">
        <v>17</v>
      </c>
      <c r="L163">
        <v>1.74E-3</v>
      </c>
      <c r="M163">
        <v>1.74</v>
      </c>
      <c r="N163">
        <v>6600.9640044236603</v>
      </c>
      <c r="O163">
        <v>0.675628080452774</v>
      </c>
      <c r="P163">
        <v>11.4856773676972</v>
      </c>
      <c r="Q163">
        <v>6.6009640044236599</v>
      </c>
    </row>
    <row r="164" spans="1:17" x14ac:dyDescent="0.25">
      <c r="A164">
        <v>1</v>
      </c>
      <c r="B164" t="s">
        <v>282</v>
      </c>
      <c r="C164">
        <v>4.3870833019415496</v>
      </c>
      <c r="D164">
        <v>0.650966664155324</v>
      </c>
      <c r="E164" t="s">
        <v>162</v>
      </c>
      <c r="F164" t="s">
        <v>13</v>
      </c>
      <c r="G164">
        <v>6</v>
      </c>
      <c r="H164" t="s">
        <v>185</v>
      </c>
      <c r="I164">
        <v>1</v>
      </c>
      <c r="J164" t="s">
        <v>28</v>
      </c>
      <c r="K164">
        <v>22</v>
      </c>
      <c r="L164">
        <v>2.5000000000000001E-3</v>
      </c>
      <c r="M164">
        <v>2.5</v>
      </c>
      <c r="N164">
        <v>5483.8541274269401</v>
      </c>
      <c r="O164">
        <v>0.62316524175306198</v>
      </c>
      <c r="P164">
        <v>13.7096353185674</v>
      </c>
      <c r="Q164">
        <v>5.4838541274269401</v>
      </c>
    </row>
    <row r="165" spans="1:17" x14ac:dyDescent="0.25">
      <c r="A165">
        <v>1</v>
      </c>
      <c r="B165" t="s">
        <v>283</v>
      </c>
      <c r="C165">
        <v>4.8229166865348798</v>
      </c>
      <c r="D165">
        <v>0.68583333492279097</v>
      </c>
      <c r="E165" t="s">
        <v>162</v>
      </c>
      <c r="F165" t="s">
        <v>13</v>
      </c>
      <c r="G165">
        <v>6</v>
      </c>
      <c r="H165" t="s">
        <v>185</v>
      </c>
      <c r="I165">
        <v>2</v>
      </c>
      <c r="J165" t="s">
        <v>284</v>
      </c>
      <c r="K165">
        <v>39</v>
      </c>
      <c r="L165">
        <v>3.14E-3</v>
      </c>
      <c r="M165">
        <v>3.14</v>
      </c>
      <c r="N165">
        <v>4799.8772756119397</v>
      </c>
      <c r="O165">
        <v>0.38645165757491001</v>
      </c>
      <c r="P165">
        <v>15.0716146454215</v>
      </c>
      <c r="Q165">
        <v>4.7998772756119399</v>
      </c>
    </row>
    <row r="166" spans="1:17" x14ac:dyDescent="0.25">
      <c r="A166">
        <v>1</v>
      </c>
      <c r="B166" t="s">
        <v>285</v>
      </c>
      <c r="C166">
        <v>4.0491666893164302</v>
      </c>
      <c r="D166">
        <v>0.62393333514531502</v>
      </c>
      <c r="E166" t="s">
        <v>162</v>
      </c>
      <c r="F166" t="s">
        <v>13</v>
      </c>
      <c r="G166">
        <v>6</v>
      </c>
      <c r="H166" t="s">
        <v>185</v>
      </c>
      <c r="I166">
        <v>5</v>
      </c>
      <c r="J166" t="s">
        <v>28</v>
      </c>
      <c r="K166">
        <v>22</v>
      </c>
      <c r="L166">
        <v>2.6800000000000001E-3</v>
      </c>
      <c r="M166">
        <v>2.68</v>
      </c>
      <c r="N166">
        <v>4721.5096657141203</v>
      </c>
      <c r="O166">
        <v>0.57516572291426604</v>
      </c>
      <c r="P166">
        <v>12.6536459041138</v>
      </c>
      <c r="Q166">
        <v>4.7215096657141196</v>
      </c>
    </row>
    <row r="167" spans="1:17" x14ac:dyDescent="0.25">
      <c r="A167">
        <v>1</v>
      </c>
      <c r="B167" t="s">
        <v>286</v>
      </c>
      <c r="C167">
        <v>4.6891665955384596</v>
      </c>
      <c r="D167">
        <v>0.67513332764307699</v>
      </c>
      <c r="E167" t="s">
        <v>162</v>
      </c>
      <c r="F167" t="s">
        <v>24</v>
      </c>
      <c r="G167">
        <v>6</v>
      </c>
      <c r="H167" t="s">
        <v>110</v>
      </c>
      <c r="I167">
        <v>3</v>
      </c>
      <c r="J167" t="s">
        <v>198</v>
      </c>
      <c r="K167">
        <v>34</v>
      </c>
      <c r="L167">
        <v>3.2000000000000002E-3</v>
      </c>
      <c r="M167">
        <v>3.2</v>
      </c>
      <c r="N167">
        <v>4579.2642534555198</v>
      </c>
      <c r="O167">
        <v>0.43098957679581401</v>
      </c>
      <c r="P167">
        <v>14.6536456110577</v>
      </c>
      <c r="Q167">
        <v>4.5792642534555199</v>
      </c>
    </row>
    <row r="168" spans="1:17" x14ac:dyDescent="0.25">
      <c r="A168">
        <v>1</v>
      </c>
      <c r="B168" t="s">
        <v>287</v>
      </c>
      <c r="C168">
        <v>4.1587500770886701</v>
      </c>
      <c r="D168">
        <v>0.63270000616709399</v>
      </c>
      <c r="E168" t="s">
        <v>162</v>
      </c>
      <c r="F168" t="s">
        <v>24</v>
      </c>
      <c r="G168">
        <v>6</v>
      </c>
      <c r="H168" t="s">
        <v>110</v>
      </c>
      <c r="I168">
        <v>5</v>
      </c>
      <c r="J168" t="s">
        <v>288</v>
      </c>
      <c r="K168">
        <v>49</v>
      </c>
      <c r="L168">
        <v>4.7600000000000003E-3</v>
      </c>
      <c r="M168">
        <v>4.76</v>
      </c>
      <c r="N168">
        <v>2730.2718468281701</v>
      </c>
      <c r="O168">
        <v>0.265226407977594</v>
      </c>
      <c r="P168">
        <v>12.9960939909021</v>
      </c>
      <c r="Q168">
        <v>2.7302718468281699</v>
      </c>
    </row>
    <row r="169" spans="1:17" x14ac:dyDescent="0.25">
      <c r="A169">
        <v>1</v>
      </c>
      <c r="B169" t="s">
        <v>289</v>
      </c>
      <c r="C169">
        <v>4.8741667469342502</v>
      </c>
      <c r="D169">
        <v>0.68993333975474003</v>
      </c>
      <c r="E169" t="s">
        <v>12</v>
      </c>
      <c r="F169" t="s">
        <v>13</v>
      </c>
      <c r="G169">
        <v>4</v>
      </c>
      <c r="H169" t="s">
        <v>71</v>
      </c>
      <c r="I169">
        <v>2</v>
      </c>
      <c r="J169" t="s">
        <v>290</v>
      </c>
      <c r="K169">
        <v>15.22</v>
      </c>
      <c r="L169">
        <v>2.16E-3</v>
      </c>
      <c r="M169">
        <v>2.16</v>
      </c>
      <c r="N169">
        <v>7051.7458723007203</v>
      </c>
      <c r="O169">
        <v>1.00077339580615</v>
      </c>
      <c r="P169">
        <v>15.2317710841695</v>
      </c>
      <c r="Q169">
        <v>7.05174587230072</v>
      </c>
    </row>
    <row r="170" spans="1:17" x14ac:dyDescent="0.25">
      <c r="A170">
        <v>1</v>
      </c>
      <c r="B170" t="s">
        <v>291</v>
      </c>
      <c r="C170">
        <v>4.6691667536894501</v>
      </c>
      <c r="D170">
        <v>0.67353334029515599</v>
      </c>
      <c r="E170" t="s">
        <v>12</v>
      </c>
      <c r="F170" t="s">
        <v>13</v>
      </c>
      <c r="G170">
        <v>4</v>
      </c>
      <c r="H170" t="s">
        <v>71</v>
      </c>
      <c r="I170">
        <v>5</v>
      </c>
      <c r="J170" t="s">
        <v>292</v>
      </c>
      <c r="K170">
        <v>10.66</v>
      </c>
      <c r="L170">
        <v>2.1199999999999999E-3</v>
      </c>
      <c r="M170">
        <v>2.12</v>
      </c>
      <c r="N170">
        <v>6882.6160873959998</v>
      </c>
      <c r="O170">
        <v>1.3687754320149601</v>
      </c>
      <c r="P170">
        <v>14.591146105279501</v>
      </c>
      <c r="Q170">
        <v>6.8826160873960003</v>
      </c>
    </row>
    <row r="171" spans="1:17" x14ac:dyDescent="0.25">
      <c r="A171">
        <v>1</v>
      </c>
      <c r="B171" t="s">
        <v>293</v>
      </c>
      <c r="C171">
        <v>7.3541664083798697</v>
      </c>
      <c r="D171">
        <v>0.59416665633519505</v>
      </c>
      <c r="E171" t="s">
        <v>12</v>
      </c>
      <c r="F171" t="s">
        <v>24</v>
      </c>
      <c r="G171">
        <v>1</v>
      </c>
      <c r="H171" t="s">
        <v>25</v>
      </c>
      <c r="I171">
        <v>4</v>
      </c>
      <c r="J171" t="s">
        <v>102</v>
      </c>
      <c r="K171">
        <v>24</v>
      </c>
      <c r="L171">
        <v>2.8999999999999998E-3</v>
      </c>
      <c r="M171">
        <v>2.9</v>
      </c>
      <c r="N171">
        <v>7924.7482848920999</v>
      </c>
      <c r="O171">
        <v>0.95757375109112897</v>
      </c>
      <c r="P171">
        <v>22.9817700261871</v>
      </c>
      <c r="Q171">
        <v>7.9247482848921003</v>
      </c>
    </row>
    <row r="172" spans="1:17" x14ac:dyDescent="0.25">
      <c r="A172">
        <v>1</v>
      </c>
      <c r="B172" t="s">
        <v>294</v>
      </c>
      <c r="C172">
        <v>9.5351111094156895</v>
      </c>
      <c r="D172">
        <v>0.65756666660308805</v>
      </c>
      <c r="E172" t="s">
        <v>162</v>
      </c>
      <c r="F172" t="s">
        <v>13</v>
      </c>
      <c r="G172">
        <v>4</v>
      </c>
      <c r="H172" t="s">
        <v>71</v>
      </c>
      <c r="I172">
        <v>1</v>
      </c>
      <c r="J172" t="s">
        <v>295</v>
      </c>
      <c r="K172">
        <v>55</v>
      </c>
      <c r="L172">
        <v>4.7800000000000004E-3</v>
      </c>
      <c r="M172">
        <v>4.78</v>
      </c>
      <c r="N172">
        <v>6233.7284972644402</v>
      </c>
      <c r="O172">
        <v>0.54176767667134595</v>
      </c>
      <c r="P172">
        <v>29.797222216923998</v>
      </c>
      <c r="Q172">
        <v>6.2337284972644396</v>
      </c>
    </row>
    <row r="173" spans="1:17" x14ac:dyDescent="0.25">
      <c r="A173">
        <v>1</v>
      </c>
      <c r="B173" t="s">
        <v>296</v>
      </c>
      <c r="C173">
        <v>7.7280000050862601</v>
      </c>
      <c r="D173">
        <v>0.58980000019073497</v>
      </c>
      <c r="E173" t="s">
        <v>162</v>
      </c>
      <c r="F173" t="s">
        <v>13</v>
      </c>
      <c r="G173">
        <v>5</v>
      </c>
      <c r="H173" t="s">
        <v>135</v>
      </c>
      <c r="I173">
        <v>1</v>
      </c>
      <c r="J173" t="s">
        <v>297</v>
      </c>
      <c r="K173">
        <v>48</v>
      </c>
      <c r="L173">
        <v>5.3400000000000001E-3</v>
      </c>
      <c r="M173">
        <v>5.34</v>
      </c>
      <c r="N173">
        <v>4522.4719130888698</v>
      </c>
      <c r="O173">
        <v>0.50312500033113705</v>
      </c>
      <c r="P173">
        <v>24.150000015894602</v>
      </c>
      <c r="Q173">
        <v>4.5224719130888698</v>
      </c>
    </row>
    <row r="174" spans="1:17" x14ac:dyDescent="0.25">
      <c r="A174">
        <v>1</v>
      </c>
      <c r="B174" t="s">
        <v>298</v>
      </c>
      <c r="C174">
        <v>8.4151112238566093</v>
      </c>
      <c r="D174">
        <v>0.61556667089462302</v>
      </c>
      <c r="E174" t="s">
        <v>162</v>
      </c>
      <c r="F174" t="s">
        <v>24</v>
      </c>
      <c r="G174">
        <v>2</v>
      </c>
      <c r="H174" t="s">
        <v>30</v>
      </c>
      <c r="I174">
        <v>5</v>
      </c>
      <c r="J174" t="s">
        <v>299</v>
      </c>
      <c r="K174">
        <v>62</v>
      </c>
      <c r="L174">
        <v>5.3400000000000001E-3</v>
      </c>
      <c r="M174">
        <v>5.34</v>
      </c>
      <c r="N174">
        <v>4924.5735158336902</v>
      </c>
      <c r="O174">
        <v>0.42414875120244999</v>
      </c>
      <c r="P174">
        <v>26.297222574551899</v>
      </c>
      <c r="Q174">
        <v>4.9245735158336901</v>
      </c>
    </row>
    <row r="175" spans="1:17" x14ac:dyDescent="0.25">
      <c r="A175">
        <v>1</v>
      </c>
      <c r="B175" t="s">
        <v>300</v>
      </c>
      <c r="C175">
        <v>8.0417779286702498</v>
      </c>
      <c r="D175">
        <v>0.60156667232513406</v>
      </c>
      <c r="E175" t="s">
        <v>162</v>
      </c>
      <c r="F175" t="s">
        <v>24</v>
      </c>
      <c r="G175">
        <v>5</v>
      </c>
      <c r="H175" t="s">
        <v>36</v>
      </c>
      <c r="I175">
        <v>3</v>
      </c>
      <c r="J175" t="s">
        <v>169</v>
      </c>
      <c r="K175">
        <v>33</v>
      </c>
      <c r="L175">
        <v>3.7299999999999998E-3</v>
      </c>
      <c r="M175">
        <v>3.73</v>
      </c>
      <c r="N175">
        <v>6737.4144844757402</v>
      </c>
      <c r="O175">
        <v>0.761532000821046</v>
      </c>
      <c r="P175">
        <v>25.130556027094499</v>
      </c>
      <c r="Q175">
        <v>6.7374144844757398</v>
      </c>
    </row>
    <row r="176" spans="1:17" x14ac:dyDescent="0.25">
      <c r="A176">
        <v>1</v>
      </c>
      <c r="B176" t="s">
        <v>301</v>
      </c>
      <c r="C176">
        <v>8.7368888854980504</v>
      </c>
      <c r="D176">
        <v>0.62763333320617698</v>
      </c>
      <c r="E176" t="s">
        <v>162</v>
      </c>
      <c r="F176" t="s">
        <v>24</v>
      </c>
      <c r="G176">
        <v>6</v>
      </c>
      <c r="H176" t="s">
        <v>110</v>
      </c>
      <c r="I176">
        <v>2</v>
      </c>
      <c r="J176" t="s">
        <v>302</v>
      </c>
      <c r="K176">
        <v>100</v>
      </c>
      <c r="L176">
        <v>1.0120000000000001E-2</v>
      </c>
      <c r="M176">
        <v>10.119999999999999</v>
      </c>
      <c r="N176">
        <v>2697.90294142109</v>
      </c>
      <c r="O176">
        <v>0.27302777767181402</v>
      </c>
      <c r="P176">
        <v>27.3027777671814</v>
      </c>
      <c r="Q176">
        <v>2.69790294142109</v>
      </c>
    </row>
    <row r="177" spans="1:17" x14ac:dyDescent="0.25">
      <c r="A177">
        <v>1</v>
      </c>
      <c r="B177" t="s">
        <v>303</v>
      </c>
      <c r="C177">
        <v>7.6862221823798302</v>
      </c>
      <c r="D177">
        <v>0.58823333183924398</v>
      </c>
      <c r="E177" t="s">
        <v>12</v>
      </c>
      <c r="F177" t="s">
        <v>24</v>
      </c>
      <c r="G177">
        <v>3</v>
      </c>
      <c r="H177" t="s">
        <v>33</v>
      </c>
      <c r="I177">
        <v>3</v>
      </c>
      <c r="J177" t="s">
        <v>163</v>
      </c>
      <c r="K177">
        <v>37</v>
      </c>
      <c r="L177">
        <v>4.9699999999999996E-3</v>
      </c>
      <c r="M177">
        <v>4.97</v>
      </c>
      <c r="N177">
        <v>4832.8861810738399</v>
      </c>
      <c r="O177">
        <v>0.649174170809107</v>
      </c>
      <c r="P177">
        <v>24.019444319937001</v>
      </c>
      <c r="Q177">
        <v>4.8328861810738397</v>
      </c>
    </row>
    <row r="178" spans="1:17" x14ac:dyDescent="0.25">
      <c r="A178">
        <v>1</v>
      </c>
      <c r="B178" t="s">
        <v>304</v>
      </c>
      <c r="C178">
        <v>8.0986667209201393</v>
      </c>
      <c r="D178">
        <v>0.60370000203450502</v>
      </c>
      <c r="E178" t="s">
        <v>12</v>
      </c>
      <c r="F178" t="s">
        <v>24</v>
      </c>
      <c r="G178">
        <v>3</v>
      </c>
      <c r="H178" t="s">
        <v>33</v>
      </c>
      <c r="I178">
        <v>5</v>
      </c>
      <c r="J178" t="s">
        <v>295</v>
      </c>
      <c r="K178">
        <v>55</v>
      </c>
      <c r="L178">
        <v>5.8700000000000002E-3</v>
      </c>
      <c r="M178">
        <v>5.87</v>
      </c>
      <c r="N178">
        <v>4311.4707841355103</v>
      </c>
      <c r="O178">
        <v>0.460151518234099</v>
      </c>
      <c r="P178">
        <v>25.308333502875399</v>
      </c>
      <c r="Q178">
        <v>4.3114707841355102</v>
      </c>
    </row>
    <row r="179" spans="1:17" x14ac:dyDescent="0.25">
      <c r="A179">
        <v>1</v>
      </c>
      <c r="B179" t="s">
        <v>305</v>
      </c>
      <c r="C179">
        <v>8.0373332765367298</v>
      </c>
      <c r="D179">
        <v>0.60139999787012699</v>
      </c>
      <c r="E179" t="s">
        <v>12</v>
      </c>
      <c r="F179" t="s">
        <v>24</v>
      </c>
      <c r="G179">
        <v>6</v>
      </c>
      <c r="H179" t="s">
        <v>110</v>
      </c>
      <c r="I179">
        <v>4</v>
      </c>
      <c r="J179" t="s">
        <v>284</v>
      </c>
      <c r="K179">
        <v>39</v>
      </c>
      <c r="L179">
        <v>4.0899999999999999E-3</v>
      </c>
      <c r="M179">
        <v>4.09</v>
      </c>
      <c r="N179">
        <v>6140.99425163259</v>
      </c>
      <c r="O179">
        <v>0.64401708946608405</v>
      </c>
      <c r="P179">
        <v>25.116666489177302</v>
      </c>
      <c r="Q179">
        <v>6.1409942516325904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Analyses_P_tourbe_exp1_270524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</dc:creator>
  <cp:lastModifiedBy>Pauline</cp:lastModifiedBy>
  <dcterms:created xsi:type="dcterms:W3CDTF">2024-07-10T11:46:52Z</dcterms:created>
  <dcterms:modified xsi:type="dcterms:W3CDTF">2024-07-25T13:35:33Z</dcterms:modified>
</cp:coreProperties>
</file>