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urty/Desktop/"/>
    </mc:Choice>
  </mc:AlternateContent>
  <xr:revisionPtr revIDLastSave="0" documentId="13_ncr:1_{BD84377D-7290-DA42-A189-906179A6DF9B}" xr6:coauthVersionLast="47" xr6:coauthVersionMax="47" xr10:uidLastSave="{00000000-0000-0000-0000-000000000000}"/>
  <bookViews>
    <workbookView xWindow="31520" yWindow="1260" windowWidth="32640" windowHeight="20080" xr2:uid="{BFA34B85-6E9D-174D-850A-CF008341E20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V3" i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V2" i="1"/>
  <c r="U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2" i="1"/>
  <c r="Q40" i="1"/>
  <c r="AA40" i="1" s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21" i="1"/>
  <c r="Q22" i="1"/>
  <c r="Q23" i="1"/>
  <c r="Q24" i="1"/>
  <c r="Q25" i="1"/>
  <c r="Q26" i="1"/>
  <c r="Q27" i="1"/>
  <c r="Q28" i="1"/>
  <c r="Q29" i="1"/>
  <c r="Q30" i="1"/>
  <c r="Q31" i="1"/>
  <c r="Q32" i="1"/>
  <c r="AA32" i="1" s="1"/>
  <c r="Q33" i="1"/>
  <c r="Q34" i="1"/>
  <c r="Q35" i="1"/>
  <c r="Q36" i="1"/>
  <c r="Q37" i="1"/>
  <c r="Q38" i="1"/>
  <c r="Q39" i="1"/>
  <c r="G21" i="1"/>
  <c r="G22" i="1"/>
  <c r="G23" i="1"/>
  <c r="G24" i="1"/>
  <c r="G25" i="1"/>
  <c r="G26" i="1"/>
  <c r="G27" i="1"/>
  <c r="G28" i="1"/>
  <c r="G29" i="1"/>
  <c r="AA29" i="1" s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2" i="1"/>
  <c r="AA54" i="1" l="1"/>
  <c r="AA53" i="1"/>
  <c r="AA42" i="1"/>
  <c r="AA30" i="1"/>
  <c r="AA39" i="1"/>
  <c r="AA44" i="1"/>
  <c r="AA43" i="1"/>
  <c r="AA52" i="1"/>
  <c r="AA51" i="1"/>
  <c r="AA22" i="1"/>
  <c r="AA31" i="1"/>
  <c r="AA50" i="1"/>
  <c r="AA49" i="1"/>
  <c r="AA38" i="1"/>
  <c r="AA28" i="1"/>
  <c r="AA57" i="1"/>
  <c r="AA47" i="1"/>
  <c r="AA37" i="1"/>
  <c r="AA27" i="1"/>
  <c r="AA56" i="1"/>
  <c r="AA46" i="1"/>
  <c r="AA36" i="1"/>
  <c r="AA26" i="1"/>
  <c r="AA45" i="1"/>
  <c r="AA21" i="1"/>
  <c r="AA41" i="1"/>
  <c r="AA24" i="1"/>
  <c r="AA35" i="1"/>
  <c r="AA23" i="1"/>
  <c r="AA25" i="1"/>
  <c r="AA34" i="1"/>
  <c r="AA33" i="1"/>
  <c r="AA58" i="1"/>
  <c r="AA48" i="1"/>
  <c r="AA5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" i="1"/>
  <c r="AA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AA12" i="1" l="1"/>
  <c r="AA10" i="1"/>
  <c r="AA11" i="1"/>
  <c r="AA20" i="1"/>
  <c r="AA19" i="1"/>
  <c r="AA9" i="1"/>
  <c r="AA18" i="1"/>
  <c r="AA8" i="1"/>
  <c r="AA17" i="1"/>
  <c r="AA7" i="1"/>
  <c r="AA16" i="1"/>
  <c r="AA6" i="1"/>
  <c r="AA15" i="1"/>
  <c r="AA5" i="1"/>
  <c r="AA14" i="1"/>
  <c r="AA4" i="1"/>
  <c r="AA13" i="1"/>
  <c r="AA3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2" i="1"/>
</calcChain>
</file>

<file path=xl/sharedStrings.xml><?xml version="1.0" encoding="utf-8"?>
<sst xmlns="http://schemas.openxmlformats.org/spreadsheetml/2006/main" count="254" uniqueCount="146">
  <si>
    <t>Plante</t>
  </si>
  <si>
    <t>Champignon</t>
  </si>
  <si>
    <t>Réplicat</t>
  </si>
  <si>
    <t>Nom Echantillon</t>
  </si>
  <si>
    <t>Poireau</t>
  </si>
  <si>
    <t>Non-inoculé</t>
  </si>
  <si>
    <t>1-39</t>
  </si>
  <si>
    <t>1-40</t>
  </si>
  <si>
    <t>Rhizophagus irregularis</t>
  </si>
  <si>
    <t>M verna</t>
  </si>
  <si>
    <t>A. alpina</t>
  </si>
  <si>
    <t>RPNI-1</t>
  </si>
  <si>
    <t>RPNI-2</t>
  </si>
  <si>
    <t>RPNI-3</t>
  </si>
  <si>
    <t>RPNI-4</t>
  </si>
  <si>
    <t>RP39-1</t>
  </si>
  <si>
    <t>RP39-3</t>
  </si>
  <si>
    <t>RP39-4</t>
  </si>
  <si>
    <t>RP39-5</t>
  </si>
  <si>
    <t>RP39-6</t>
  </si>
  <si>
    <t>RP40-2</t>
  </si>
  <si>
    <t>RP40-3</t>
  </si>
  <si>
    <t>RP40-4</t>
  </si>
  <si>
    <t>RP40-5</t>
  </si>
  <si>
    <t>RP40-6</t>
  </si>
  <si>
    <t>RPRI-2</t>
  </si>
  <si>
    <t>RPRI-3</t>
  </si>
  <si>
    <t>RPRI-4</t>
  </si>
  <si>
    <t>RPRI-5</t>
  </si>
  <si>
    <t>RPRI-6</t>
  </si>
  <si>
    <t>FPNI-1</t>
  </si>
  <si>
    <t>FPNI-2</t>
  </si>
  <si>
    <t>FPNI-3</t>
  </si>
  <si>
    <t>FPNI-4</t>
  </si>
  <si>
    <t>FP39-1</t>
  </si>
  <si>
    <t>FP39-3</t>
  </si>
  <si>
    <t>FP39-4</t>
  </si>
  <si>
    <t>FP39-5</t>
  </si>
  <si>
    <t>FP39-6</t>
  </si>
  <si>
    <t>FP40-2</t>
  </si>
  <si>
    <t>FP40-3</t>
  </si>
  <si>
    <t>FP40-4</t>
  </si>
  <si>
    <t>FP40-5</t>
  </si>
  <si>
    <t>FP40-6</t>
  </si>
  <si>
    <t>FPRI-2</t>
  </si>
  <si>
    <t>FPRI-3</t>
  </si>
  <si>
    <t>FPRI-4</t>
  </si>
  <si>
    <t>FPRI-5</t>
  </si>
  <si>
    <t>FPRI-6</t>
  </si>
  <si>
    <t>RMVRI-1</t>
  </si>
  <si>
    <t>RMVRI-2</t>
  </si>
  <si>
    <t>RMVRI-3</t>
  </si>
  <si>
    <t>RMVRI-4</t>
  </si>
  <si>
    <t>RMVRI-5</t>
  </si>
  <si>
    <t>RMV39-1</t>
  </si>
  <si>
    <t>RMV39-2</t>
  </si>
  <si>
    <t>RMV39-4</t>
  </si>
  <si>
    <t>RMV39-5</t>
  </si>
  <si>
    <t>RMV39-6</t>
  </si>
  <si>
    <t>RMV40-1</t>
  </si>
  <si>
    <t>RMV40-2</t>
  </si>
  <si>
    <t>RMV40-3</t>
  </si>
  <si>
    <t>RMV40-5</t>
  </si>
  <si>
    <t>RMV40-6</t>
  </si>
  <si>
    <t>FMV39-1</t>
  </si>
  <si>
    <t>FMV39-2</t>
  </si>
  <si>
    <t>FMV39-4</t>
  </si>
  <si>
    <t>FMV39-5</t>
  </si>
  <si>
    <t>FMV39-6</t>
  </si>
  <si>
    <t>FMV40-1</t>
  </si>
  <si>
    <t>FMV40-2</t>
  </si>
  <si>
    <t>FMV40-3</t>
  </si>
  <si>
    <t>FMV40-5</t>
  </si>
  <si>
    <t>FMV40-6</t>
  </si>
  <si>
    <t>FMVRI-1</t>
  </si>
  <si>
    <t>FMVRI-2</t>
  </si>
  <si>
    <t>FMVRI-3</t>
  </si>
  <si>
    <t>FMVRI-4</t>
  </si>
  <si>
    <t>FMVRI-5</t>
  </si>
  <si>
    <t>RAANI-1</t>
  </si>
  <si>
    <t>RAANI-2</t>
  </si>
  <si>
    <t>RAANI-4</t>
  </si>
  <si>
    <t>RAANI-5</t>
  </si>
  <si>
    <t>RAA39-1</t>
  </si>
  <si>
    <t>RAA39-2</t>
  </si>
  <si>
    <t>RAA39-3</t>
  </si>
  <si>
    <t>RAA39-5</t>
  </si>
  <si>
    <t>RAA39-6</t>
  </si>
  <si>
    <t>RAA40-1</t>
  </si>
  <si>
    <t>RAA40-2</t>
  </si>
  <si>
    <t>RAA40-3</t>
  </si>
  <si>
    <t>RAA40-4</t>
  </si>
  <si>
    <t>RAA40-6</t>
  </si>
  <si>
    <t>RAARI-1</t>
  </si>
  <si>
    <t>RAARI-2</t>
  </si>
  <si>
    <t>RAARI-3</t>
  </si>
  <si>
    <t>RAARI-4</t>
  </si>
  <si>
    <t>RAARI-6</t>
  </si>
  <si>
    <t>FAANI-1</t>
  </si>
  <si>
    <t>FAANI-2</t>
  </si>
  <si>
    <t>FAANI-4</t>
  </si>
  <si>
    <t>FAANI-5</t>
  </si>
  <si>
    <t>FAA39-1</t>
  </si>
  <si>
    <t>FAA39-2</t>
  </si>
  <si>
    <t>FAA39-3</t>
  </si>
  <si>
    <t>FAA39-5</t>
  </si>
  <si>
    <t>FAA39-6</t>
  </si>
  <si>
    <t>FAA40-1</t>
  </si>
  <si>
    <t>FAA40-2</t>
  </si>
  <si>
    <t>FAA40-3</t>
  </si>
  <si>
    <t>FAA40-4</t>
  </si>
  <si>
    <t>FAA40-6</t>
  </si>
  <si>
    <t>FAARI-1</t>
  </si>
  <si>
    <t>FAARI-2</t>
  </si>
  <si>
    <t>FAARI-3</t>
  </si>
  <si>
    <t>FAARI-4</t>
  </si>
  <si>
    <t>FAARI-6</t>
  </si>
  <si>
    <t>RMVNI-1</t>
  </si>
  <si>
    <t>RMVNI-2</t>
  </si>
  <si>
    <t>RMVNI-3</t>
  </si>
  <si>
    <t>RMVNI-4</t>
  </si>
  <si>
    <t>FMVNI-1</t>
  </si>
  <si>
    <t>FMVNI-2</t>
  </si>
  <si>
    <t>FMVNI-3</t>
  </si>
  <si>
    <t>FMVNI-4</t>
  </si>
  <si>
    <t>33P (KBq dans PR)</t>
  </si>
  <si>
    <t>33P (KBq dans PA)</t>
  </si>
  <si>
    <t>33P (KBq par plante)</t>
  </si>
  <si>
    <t>Pois Sec PR (mg)</t>
  </si>
  <si>
    <t>Quantité de P (mg P/PR)</t>
  </si>
  <si>
    <t>Quantité de N (mg N/PR)</t>
  </si>
  <si>
    <t>Pois Sec PA (mg)</t>
  </si>
  <si>
    <t>Quantité de P (mg P/PA)</t>
  </si>
  <si>
    <t>Quantité de N (mg N/PA)</t>
  </si>
  <si>
    <t>Biomasse plante (mg)</t>
  </si>
  <si>
    <t>Quantité de P (mg/g PR)</t>
  </si>
  <si>
    <t>Quantité de P (mg/g PA)</t>
  </si>
  <si>
    <t>Quantité de P (mg P/Plante)</t>
  </si>
  <si>
    <t>Quantité de 15N (µg N/PR)</t>
  </si>
  <si>
    <t>%C dans PR</t>
  </si>
  <si>
    <t>%N dans PR</t>
  </si>
  <si>
    <t>A% 15N dans PR</t>
  </si>
  <si>
    <t>%C dans PA</t>
  </si>
  <si>
    <t>Quantité de 15N (µg N/PA)</t>
  </si>
  <si>
    <t>%N dans PA</t>
  </si>
  <si>
    <t>A% 15N dans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</si>
</sst>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D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2" fontId="0" fillId="13" borderId="1" xfId="0" applyNumberFormat="1" applyFill="1" applyBorder="1" applyAlignment="1">
      <alignment horizontal="center"/>
    </xf>
    <xf numFmtId="10" fontId="4" fillId="13" borderId="1" xfId="1" applyNumberFormat="1" applyFill="1" applyBorder="1" applyAlignment="1">
      <alignment horizontal="center"/>
    </xf>
    <xf numFmtId="10" fontId="0" fillId="13" borderId="1" xfId="0" applyNumberFormat="1" applyFill="1" applyBorder="1" applyAlignment="1">
      <alignment horizontal="center"/>
    </xf>
    <xf numFmtId="10" fontId="4" fillId="13" borderId="1" xfId="1" applyNumberFormat="1" applyFill="1" applyBorder="1" applyAlignment="1">
      <alignment horizontal="center" wrapText="1"/>
    </xf>
    <xf numFmtId="0" fontId="5" fillId="0" borderId="1" xfId="1" applyFont="1" applyBorder="1" applyAlignment="1">
      <alignment horizontal="center" vertical="center" wrapText="1" shrinkToFit="1"/>
    </xf>
    <xf numFmtId="0" fontId="5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9669EA97-3A9F-3143-80C6-F32D91179926}"/>
  </cellStyles>
  <dxfs count="0"/>
  <tableStyles count="0" defaultTableStyle="TableStyleMedium2" defaultPivotStyle="PivotStyleLight16"/>
  <colors>
    <mruColors>
      <color rgb="FFFFCD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4268-610A-2846-A320-9547F89257FF}">
  <dimension ref="A1:AA58"/>
  <sheetViews>
    <sheetView tabSelected="1" workbookViewId="0">
      <pane xSplit="7880" topLeftCell="L1" activePane="topRight"/>
      <selection sqref="A1:XFD1048576"/>
      <selection pane="topRight" activeCell="T2" sqref="T2"/>
    </sheetView>
  </sheetViews>
  <sheetFormatPr baseColWidth="10" defaultRowHeight="16" x14ac:dyDescent="0.2"/>
  <cols>
    <col min="1" max="1" width="14" style="1" customWidth="1"/>
    <col min="2" max="2" width="20.83203125" style="2" customWidth="1"/>
    <col min="3" max="3" width="10.83203125" style="1"/>
    <col min="4" max="4" width="16.1640625" style="1" customWidth="1"/>
    <col min="5" max="6" width="15.1640625" style="1" customWidth="1"/>
    <col min="7" max="7" width="13" style="1" customWidth="1"/>
    <col min="8" max="8" width="13.83203125" style="1" customWidth="1"/>
    <col min="9" max="9" width="10" style="1" customWidth="1"/>
    <col min="10" max="10" width="11" style="1" customWidth="1"/>
    <col min="11" max="11" width="13.83203125" style="1" customWidth="1"/>
    <col min="12" max="12" width="16.33203125" style="1" customWidth="1"/>
    <col min="13" max="13" width="12.33203125" style="1" customWidth="1"/>
    <col min="14" max="14" width="15.6640625" style="1" customWidth="1"/>
    <col min="15" max="16" width="15.1640625" style="1" customWidth="1"/>
    <col min="17" max="17" width="13" style="1" customWidth="1"/>
    <col min="18" max="22" width="13.83203125" style="1" customWidth="1"/>
    <col min="23" max="23" width="16.33203125" style="1" customWidth="1"/>
    <col min="24" max="24" width="1.5" style="1" customWidth="1"/>
    <col min="25" max="25" width="16.33203125" style="1" customWidth="1"/>
    <col min="26" max="26" width="13.83203125" style="1" customWidth="1"/>
    <col min="27" max="27" width="14" customWidth="1"/>
  </cols>
  <sheetData>
    <row r="1" spans="1:27" s="16" customFormat="1" ht="34" x14ac:dyDescent="0.2">
      <c r="A1" s="14" t="s">
        <v>0</v>
      </c>
      <c r="B1" s="15" t="s">
        <v>1</v>
      </c>
      <c r="C1" s="14" t="s">
        <v>2</v>
      </c>
      <c r="D1" s="14" t="s">
        <v>3</v>
      </c>
      <c r="E1" s="14" t="s">
        <v>128</v>
      </c>
      <c r="F1" s="20" t="s">
        <v>135</v>
      </c>
      <c r="G1" s="14" t="s">
        <v>129</v>
      </c>
      <c r="H1" s="14" t="s">
        <v>125</v>
      </c>
      <c r="I1" s="27" t="s">
        <v>140</v>
      </c>
      <c r="J1" s="26" t="s">
        <v>141</v>
      </c>
      <c r="K1" s="14" t="s">
        <v>130</v>
      </c>
      <c r="L1" s="14" t="s">
        <v>138</v>
      </c>
      <c r="M1" s="27" t="s">
        <v>139</v>
      </c>
      <c r="N1" s="14" t="s">
        <v>3</v>
      </c>
      <c r="O1" s="14" t="s">
        <v>131</v>
      </c>
      <c r="P1" s="17" t="s">
        <v>136</v>
      </c>
      <c r="Q1" s="14" t="s">
        <v>132</v>
      </c>
      <c r="R1" s="14" t="s">
        <v>126</v>
      </c>
      <c r="S1" s="27" t="s">
        <v>144</v>
      </c>
      <c r="T1" s="26" t="s">
        <v>145</v>
      </c>
      <c r="U1" s="14" t="s">
        <v>133</v>
      </c>
      <c r="V1" s="14" t="s">
        <v>143</v>
      </c>
      <c r="W1" s="27" t="s">
        <v>142</v>
      </c>
      <c r="X1" s="18"/>
      <c r="Y1" s="14" t="s">
        <v>134</v>
      </c>
      <c r="Z1" s="14" t="s">
        <v>127</v>
      </c>
      <c r="AA1" s="14" t="s">
        <v>137</v>
      </c>
    </row>
    <row r="2" spans="1:27" x14ac:dyDescent="0.2">
      <c r="A2" s="3" t="s">
        <v>4</v>
      </c>
      <c r="B2" s="4" t="s">
        <v>5</v>
      </c>
      <c r="C2" s="5">
        <v>1</v>
      </c>
      <c r="D2" s="11" t="s">
        <v>11</v>
      </c>
      <c r="E2" s="5">
        <v>43</v>
      </c>
      <c r="F2" s="5">
        <v>0.27450184338192302</v>
      </c>
      <c r="G2" s="5">
        <f>F2*E2</f>
        <v>11.803579265422689</v>
      </c>
      <c r="H2" s="5">
        <v>7.0175195917035102E-4</v>
      </c>
      <c r="I2" s="22">
        <v>1.7649537</v>
      </c>
      <c r="J2" s="25">
        <v>3.8843534695263541E-3</v>
      </c>
      <c r="K2" s="5">
        <f>(E2*I2)/100</f>
        <v>0.75893009099999997</v>
      </c>
      <c r="L2" s="5">
        <f>(E2*I2*J2)*100</f>
        <v>29.479527321038017</v>
      </c>
      <c r="M2" s="22">
        <v>34.7991697</v>
      </c>
      <c r="N2" s="11" t="s">
        <v>30</v>
      </c>
      <c r="O2" s="5">
        <v>118</v>
      </c>
      <c r="P2" s="5">
        <v>0.223158026421137</v>
      </c>
      <c r="Q2" s="5">
        <f>O2*P2</f>
        <v>26.332647117694165</v>
      </c>
      <c r="R2" s="5">
        <v>1.92575887955847E-3</v>
      </c>
      <c r="S2" s="22">
        <v>3.1837529999999998</v>
      </c>
      <c r="T2" s="24">
        <v>4.2932655583102176E-3</v>
      </c>
      <c r="U2" s="5">
        <f>(O2*S2)/100</f>
        <v>3.7568285399999994</v>
      </c>
      <c r="V2" s="5">
        <f>(O2*S2*T2)*100</f>
        <v>161.29062579258857</v>
      </c>
      <c r="W2" s="22">
        <v>37.133033300000001</v>
      </c>
      <c r="X2" s="19"/>
      <c r="Y2" s="5">
        <f t="shared" ref="Y2:Y33" si="0">E2+O2</f>
        <v>161</v>
      </c>
      <c r="Z2" s="5">
        <f t="shared" ref="Z2:Z33" si="1">H2+R2</f>
        <v>2.6275108387288212E-3</v>
      </c>
      <c r="AA2" s="21">
        <f>G2+Q2</f>
        <v>38.136226383116856</v>
      </c>
    </row>
    <row r="3" spans="1:27" x14ac:dyDescent="0.2">
      <c r="A3" s="3" t="s">
        <v>4</v>
      </c>
      <c r="B3" s="4" t="s">
        <v>5</v>
      </c>
      <c r="C3" s="5">
        <v>2</v>
      </c>
      <c r="D3" s="11" t="s">
        <v>12</v>
      </c>
      <c r="E3" s="5">
        <v>39</v>
      </c>
      <c r="F3" s="5">
        <v>0.27260334878400799</v>
      </c>
      <c r="G3" s="5">
        <f t="shared" ref="G3:G58" si="2">F3*E3</f>
        <v>10.631530602576312</v>
      </c>
      <c r="H3" s="5">
        <v>5.8678382282137702E-4</v>
      </c>
      <c r="I3" s="22">
        <v>1.7172491000000001</v>
      </c>
      <c r="J3" s="23">
        <v>3.94944350487509E-3</v>
      </c>
      <c r="K3" s="5">
        <f t="shared" ref="K3:K58" si="3">(E3*I3)/100</f>
        <v>0.66972714899999997</v>
      </c>
      <c r="L3" s="5">
        <f t="shared" ref="L3:L58" si="4">(E3*I3*J3)*100</f>
        <v>26.450495386565613</v>
      </c>
      <c r="M3" s="22">
        <v>37.099021299999997</v>
      </c>
      <c r="N3" s="11" t="s">
        <v>31</v>
      </c>
      <c r="O3" s="5">
        <v>137</v>
      </c>
      <c r="P3" s="5">
        <v>0.21579086730615499</v>
      </c>
      <c r="Q3" s="5">
        <f t="shared" ref="Q3:Q39" si="5">O3*P3</f>
        <v>29.563348820943233</v>
      </c>
      <c r="R3" s="5">
        <v>2.0612662493981705E-3</v>
      </c>
      <c r="S3" s="22">
        <v>3.2396120000000002</v>
      </c>
      <c r="T3" s="24">
        <v>4.4601159953980936E-3</v>
      </c>
      <c r="U3" s="5">
        <f t="shared" ref="U3:U58" si="6">(O3*S3)/100</f>
        <v>4.4382684399999999</v>
      </c>
      <c r="V3" s="5">
        <f t="shared" ref="V3:V58" si="7">(O3*S3*T3)*100</f>
        <v>197.95192061114543</v>
      </c>
      <c r="W3" s="22">
        <v>38.134709000000001</v>
      </c>
      <c r="X3" s="19"/>
      <c r="Y3" s="5">
        <f t="shared" si="0"/>
        <v>176</v>
      </c>
      <c r="Z3" s="5">
        <f t="shared" si="1"/>
        <v>2.6480500722195475E-3</v>
      </c>
      <c r="AA3" s="21">
        <f t="shared" ref="AA3:AA58" si="8">G3+Q3</f>
        <v>40.194879423519545</v>
      </c>
    </row>
    <row r="4" spans="1:27" x14ac:dyDescent="0.2">
      <c r="A4" s="3" t="s">
        <v>4</v>
      </c>
      <c r="B4" s="4" t="s">
        <v>5</v>
      </c>
      <c r="C4" s="5">
        <v>3</v>
      </c>
      <c r="D4" s="11" t="s">
        <v>13</v>
      </c>
      <c r="E4" s="5">
        <v>33</v>
      </c>
      <c r="F4" s="5">
        <v>0.32476791774805303</v>
      </c>
      <c r="G4" s="5">
        <f t="shared" si="2"/>
        <v>10.71734128568575</v>
      </c>
      <c r="H4" s="5">
        <v>4.9352436215715015E-4</v>
      </c>
      <c r="I4" s="22">
        <v>1.7405356000000001</v>
      </c>
      <c r="J4" s="23">
        <v>3.8367845973364613E-3</v>
      </c>
      <c r="K4" s="5">
        <f t="shared" si="3"/>
        <v>0.57437674800000005</v>
      </c>
      <c r="L4" s="5">
        <f t="shared" si="4"/>
        <v>22.037598597946062</v>
      </c>
      <c r="M4" s="22">
        <v>38.113174200000003</v>
      </c>
      <c r="N4" s="11" t="s">
        <v>32</v>
      </c>
      <c r="O4" s="5">
        <v>101</v>
      </c>
      <c r="P4" s="5">
        <v>0.232264782261286</v>
      </c>
      <c r="Q4" s="5">
        <f t="shared" si="5"/>
        <v>23.458743008389884</v>
      </c>
      <c r="R4" s="5">
        <v>1.510483653874914E-3</v>
      </c>
      <c r="S4" s="22">
        <v>5.5764902999999997</v>
      </c>
      <c r="T4" s="24">
        <v>4.2111447072001726E-3</v>
      </c>
      <c r="U4" s="5">
        <f t="shared" si="6"/>
        <v>5.6322552029999997</v>
      </c>
      <c r="V4" s="5">
        <f t="shared" si="7"/>
        <v>237.18241687714081</v>
      </c>
      <c r="W4" s="22">
        <v>37.888405400000003</v>
      </c>
      <c r="X4" s="19"/>
      <c r="Y4" s="5">
        <f t="shared" si="0"/>
        <v>134</v>
      </c>
      <c r="Z4" s="5">
        <f t="shared" si="1"/>
        <v>2.0040080160320644E-3</v>
      </c>
      <c r="AA4" s="21">
        <f t="shared" si="8"/>
        <v>34.176084294075636</v>
      </c>
    </row>
    <row r="5" spans="1:27" x14ac:dyDescent="0.2">
      <c r="A5" s="3" t="s">
        <v>4</v>
      </c>
      <c r="B5" s="4" t="s">
        <v>5</v>
      </c>
      <c r="C5" s="5">
        <v>4</v>
      </c>
      <c r="D5" s="11" t="s">
        <v>14</v>
      </c>
      <c r="E5" s="5">
        <v>35</v>
      </c>
      <c r="F5" s="5">
        <v>0.31347554021608598</v>
      </c>
      <c r="G5" s="5">
        <f t="shared" si="2"/>
        <v>10.97164390756301</v>
      </c>
      <c r="H5" s="5">
        <v>6.04686985912123E-4</v>
      </c>
      <c r="I5" s="22">
        <v>1.7109548000000001</v>
      </c>
      <c r="J5" s="23">
        <v>3.8400416826800303E-3</v>
      </c>
      <c r="K5" s="5">
        <f t="shared" si="3"/>
        <v>0.5988341800000001</v>
      </c>
      <c r="L5" s="5">
        <f t="shared" si="4"/>
        <v>22.995482122135165</v>
      </c>
      <c r="M5" s="22">
        <v>35.334524399999999</v>
      </c>
      <c r="N5" s="11" t="s">
        <v>33</v>
      </c>
      <c r="O5" s="5">
        <v>54</v>
      </c>
      <c r="P5" s="5">
        <v>0.243152869426115</v>
      </c>
      <c r="Q5" s="5">
        <f t="shared" si="5"/>
        <v>13.13025494901021</v>
      </c>
      <c r="R5" s="5">
        <v>1.6151706397870367E-3</v>
      </c>
      <c r="S5" s="22">
        <v>4.1977273999999998</v>
      </c>
      <c r="T5" s="24">
        <v>4.4501672628985195E-3</v>
      </c>
      <c r="U5" s="5">
        <f t="shared" si="6"/>
        <v>2.2667727959999997</v>
      </c>
      <c r="V5" s="5">
        <f t="shared" si="7"/>
        <v>100.87518089188143</v>
      </c>
      <c r="W5" s="22">
        <v>37.6809078</v>
      </c>
      <c r="X5" s="19"/>
      <c r="Y5" s="5">
        <f t="shared" si="0"/>
        <v>89</v>
      </c>
      <c r="Z5" s="5">
        <f t="shared" si="1"/>
        <v>2.2198576256991596E-3</v>
      </c>
      <c r="AA5" s="21">
        <f t="shared" si="8"/>
        <v>24.101898856573222</v>
      </c>
    </row>
    <row r="6" spans="1:27" x14ac:dyDescent="0.2">
      <c r="A6" s="3" t="s">
        <v>4</v>
      </c>
      <c r="B6" s="6" t="s">
        <v>6</v>
      </c>
      <c r="C6" s="5">
        <v>1</v>
      </c>
      <c r="D6" s="11" t="s">
        <v>15</v>
      </c>
      <c r="E6" s="5">
        <v>43</v>
      </c>
      <c r="F6" s="5">
        <v>0.30314597976059399</v>
      </c>
      <c r="G6" s="5">
        <f t="shared" si="2"/>
        <v>13.035277129705541</v>
      </c>
      <c r="H6" s="5">
        <v>2.2337491188819763E-2</v>
      </c>
      <c r="I6" s="22">
        <v>1.9491044</v>
      </c>
      <c r="J6" s="23">
        <v>4.9281484702783325E-2</v>
      </c>
      <c r="K6" s="5">
        <f t="shared" si="3"/>
        <v>0.838114892</v>
      </c>
      <c r="L6" s="5">
        <f t="shared" si="4"/>
        <v>413.03546229272899</v>
      </c>
      <c r="M6" s="22">
        <v>35.287024899999999</v>
      </c>
      <c r="N6" s="11" t="s">
        <v>34</v>
      </c>
      <c r="O6" s="5">
        <v>117</v>
      </c>
      <c r="P6" s="5">
        <v>0.26423665266946617</v>
      </c>
      <c r="Q6" s="5">
        <f t="shared" si="5"/>
        <v>30.91568836232754</v>
      </c>
      <c r="R6" s="5">
        <v>6.0778755095160744E-2</v>
      </c>
      <c r="S6" s="22">
        <v>3.6105507999999999</v>
      </c>
      <c r="T6" s="24">
        <v>2.3005915066708401E-2</v>
      </c>
      <c r="U6" s="5">
        <f t="shared" si="6"/>
        <v>4.224344436</v>
      </c>
      <c r="V6" s="5">
        <f t="shared" si="7"/>
        <v>971.84909307138196</v>
      </c>
      <c r="W6" s="22">
        <v>36.657855900000001</v>
      </c>
      <c r="X6" s="19"/>
      <c r="Y6" s="5">
        <f t="shared" si="0"/>
        <v>160</v>
      </c>
      <c r="Z6" s="5">
        <f t="shared" si="1"/>
        <v>8.3116246283980511E-2</v>
      </c>
      <c r="AA6" s="21">
        <f t="shared" si="8"/>
        <v>43.950965492033077</v>
      </c>
    </row>
    <row r="7" spans="1:27" x14ac:dyDescent="0.2">
      <c r="A7" s="3" t="s">
        <v>4</v>
      </c>
      <c r="B7" s="6" t="s">
        <v>6</v>
      </c>
      <c r="C7" s="5">
        <v>3</v>
      </c>
      <c r="D7" s="11" t="s">
        <v>16</v>
      </c>
      <c r="E7" s="5">
        <v>34</v>
      </c>
      <c r="F7" s="5">
        <v>0.35557171369595297</v>
      </c>
      <c r="G7" s="5">
        <f t="shared" si="2"/>
        <v>12.089438265662402</v>
      </c>
      <c r="H7" s="5">
        <v>2.4689427115917421E-2</v>
      </c>
      <c r="I7" s="22">
        <v>2.152971</v>
      </c>
      <c r="J7" s="23">
        <v>4.4174204676018028E-2</v>
      </c>
      <c r="K7" s="5">
        <f t="shared" si="3"/>
        <v>0.73201013999999998</v>
      </c>
      <c r="L7" s="5">
        <f t="shared" si="4"/>
        <v>323.35965749280609</v>
      </c>
      <c r="M7" s="22">
        <v>39.7332149</v>
      </c>
      <c r="N7" s="11" t="s">
        <v>35</v>
      </c>
      <c r="O7" s="5">
        <v>68</v>
      </c>
      <c r="P7" s="5">
        <v>0.27601150000000002</v>
      </c>
      <c r="Q7" s="5">
        <f t="shared" si="5"/>
        <v>18.768782000000002</v>
      </c>
      <c r="R7" s="5">
        <v>4.9378854231834843E-2</v>
      </c>
      <c r="S7" s="22">
        <v>3.5046930000000001</v>
      </c>
      <c r="T7" s="24">
        <v>3.8209995227221016E-2</v>
      </c>
      <c r="U7" s="5">
        <f t="shared" si="6"/>
        <v>2.3831912400000004</v>
      </c>
      <c r="V7" s="5">
        <f t="shared" si="7"/>
        <v>910.61725905954938</v>
      </c>
      <c r="W7" s="22">
        <v>36.377262299999998</v>
      </c>
      <c r="X7" s="19"/>
      <c r="Y7" s="5">
        <f t="shared" si="0"/>
        <v>102</v>
      </c>
      <c r="Z7" s="5">
        <f t="shared" si="1"/>
        <v>7.4068281347752257E-2</v>
      </c>
      <c r="AA7" s="21">
        <f t="shared" si="8"/>
        <v>30.858220265662403</v>
      </c>
    </row>
    <row r="8" spans="1:27" x14ac:dyDescent="0.2">
      <c r="A8" s="3" t="s">
        <v>4</v>
      </c>
      <c r="B8" s="6" t="s">
        <v>6</v>
      </c>
      <c r="C8" s="5">
        <v>4</v>
      </c>
      <c r="D8" s="11" t="s">
        <v>17</v>
      </c>
      <c r="E8" s="5">
        <v>49</v>
      </c>
      <c r="F8" s="5">
        <v>0.28561041463129999</v>
      </c>
      <c r="G8" s="5">
        <f t="shared" si="2"/>
        <v>13.9949103169337</v>
      </c>
      <c r="H8" s="5">
        <v>3.2886311019161611E-2</v>
      </c>
      <c r="I8" s="22">
        <v>1.9215039</v>
      </c>
      <c r="J8" s="23">
        <v>6.977123624296018E-2</v>
      </c>
      <c r="K8" s="5">
        <f t="shared" si="3"/>
        <v>0.94153691100000003</v>
      </c>
      <c r="L8" s="5">
        <f t="shared" si="4"/>
        <v>656.92194248847977</v>
      </c>
      <c r="M8" s="22">
        <v>33.791368900000002</v>
      </c>
      <c r="N8" s="11" t="s">
        <v>36</v>
      </c>
      <c r="O8" s="5">
        <v>128</v>
      </c>
      <c r="P8" s="5">
        <v>0.299938463077847</v>
      </c>
      <c r="Q8" s="5">
        <f t="shared" si="5"/>
        <v>38.392123273964415</v>
      </c>
      <c r="R8" s="5">
        <v>8.5907098172503804E-2</v>
      </c>
      <c r="S8" s="22">
        <v>3.8018033999999998</v>
      </c>
      <c r="T8" s="24">
        <v>2.18071972063868E-2</v>
      </c>
      <c r="U8" s="5">
        <f t="shared" si="6"/>
        <v>4.8663083519999999</v>
      </c>
      <c r="V8" s="5">
        <f t="shared" si="7"/>
        <v>1061.2054589915115</v>
      </c>
      <c r="W8" s="22">
        <v>38.585933500000003</v>
      </c>
      <c r="X8" s="19"/>
      <c r="Y8" s="5">
        <f t="shared" si="0"/>
        <v>177</v>
      </c>
      <c r="Z8" s="5">
        <f t="shared" si="1"/>
        <v>0.11879340919166542</v>
      </c>
      <c r="AA8" s="21">
        <f t="shared" si="8"/>
        <v>52.387033590898113</v>
      </c>
    </row>
    <row r="9" spans="1:27" x14ac:dyDescent="0.2">
      <c r="A9" s="3" t="s">
        <v>4</v>
      </c>
      <c r="B9" s="6" t="s">
        <v>6</v>
      </c>
      <c r="C9" s="5">
        <v>5</v>
      </c>
      <c r="D9" s="11" t="s">
        <v>18</v>
      </c>
      <c r="E9" s="5">
        <v>43</v>
      </c>
      <c r="F9" s="5">
        <v>0.31891245558112802</v>
      </c>
      <c r="G9" s="5">
        <f t="shared" si="2"/>
        <v>13.713235589988505</v>
      </c>
      <c r="H9" s="5">
        <v>3.3462017813174455E-2</v>
      </c>
      <c r="I9" s="22">
        <v>1.9237917</v>
      </c>
      <c r="J9" s="23">
        <v>2.0780774179063696E-2</v>
      </c>
      <c r="K9" s="5">
        <f t="shared" si="3"/>
        <v>0.82723043099999993</v>
      </c>
      <c r="L9" s="5">
        <f t="shared" si="4"/>
        <v>171.90488780660533</v>
      </c>
      <c r="M9" s="22">
        <v>37.493847799999998</v>
      </c>
      <c r="N9" s="11" t="s">
        <v>37</v>
      </c>
      <c r="O9" s="5">
        <v>72</v>
      </c>
      <c r="P9" s="5">
        <v>0.30476791774805345</v>
      </c>
      <c r="Q9" s="5">
        <f t="shared" si="5"/>
        <v>21.943290077859849</v>
      </c>
      <c r="R9" s="5">
        <v>5.6029425175547924E-2</v>
      </c>
      <c r="S9" s="22">
        <v>3.1089300999999998</v>
      </c>
      <c r="T9" s="24">
        <v>3.0038494637573802E-2</v>
      </c>
      <c r="U9" s="5">
        <f t="shared" si="6"/>
        <v>2.2384296719999996</v>
      </c>
      <c r="V9" s="5">
        <f t="shared" si="7"/>
        <v>672.39057698958072</v>
      </c>
      <c r="W9" s="22">
        <v>36.628353199999999</v>
      </c>
      <c r="X9" s="19"/>
      <c r="Y9" s="5">
        <f t="shared" si="0"/>
        <v>115</v>
      </c>
      <c r="Z9" s="5">
        <f t="shared" si="1"/>
        <v>8.9491442988722386E-2</v>
      </c>
      <c r="AA9" s="21">
        <f t="shared" si="8"/>
        <v>35.656525667848356</v>
      </c>
    </row>
    <row r="10" spans="1:27" x14ac:dyDescent="0.2">
      <c r="A10" s="3" t="s">
        <v>4</v>
      </c>
      <c r="B10" s="6" t="s">
        <v>6</v>
      </c>
      <c r="C10" s="5">
        <v>6</v>
      </c>
      <c r="D10" s="11" t="s">
        <v>19</v>
      </c>
      <c r="E10" s="5">
        <v>48</v>
      </c>
      <c r="F10" s="5">
        <v>0.24421959878813301</v>
      </c>
      <c r="G10" s="5">
        <f t="shared" si="2"/>
        <v>11.722540741830384</v>
      </c>
      <c r="H10" s="5">
        <v>3.1532478452806392E-2</v>
      </c>
      <c r="I10" s="22">
        <v>2.1231810000000002</v>
      </c>
      <c r="J10" s="23">
        <v>6.9436769282855568E-2</v>
      </c>
      <c r="K10" s="5">
        <f t="shared" si="3"/>
        <v>1.01912688</v>
      </c>
      <c r="L10" s="5">
        <f t="shared" si="4"/>
        <v>707.64878036516427</v>
      </c>
      <c r="M10" s="22">
        <v>37.822212</v>
      </c>
      <c r="N10" s="11" t="s">
        <v>38</v>
      </c>
      <c r="O10" s="5">
        <v>88</v>
      </c>
      <c r="P10" s="5">
        <v>0.23475540216086399</v>
      </c>
      <c r="Q10" s="5">
        <f t="shared" si="5"/>
        <v>20.658475390156031</v>
      </c>
      <c r="R10" s="5">
        <v>5.7809543830145055E-2</v>
      </c>
      <c r="S10" s="22">
        <v>3.3558653000000001</v>
      </c>
      <c r="T10" s="24">
        <v>2.53601168827929E-2</v>
      </c>
      <c r="U10" s="5">
        <f t="shared" si="6"/>
        <v>2.9531614639999999</v>
      </c>
      <c r="V10" s="5">
        <f t="shared" si="7"/>
        <v>748.92519900799789</v>
      </c>
      <c r="W10" s="22">
        <v>38.885261399999997</v>
      </c>
      <c r="X10" s="19"/>
      <c r="Y10" s="5">
        <f t="shared" si="0"/>
        <v>136</v>
      </c>
      <c r="Z10" s="5">
        <f t="shared" si="1"/>
        <v>8.9342022282951447E-2</v>
      </c>
      <c r="AA10" s="21">
        <f t="shared" si="8"/>
        <v>32.381016131986414</v>
      </c>
    </row>
    <row r="11" spans="1:27" x14ac:dyDescent="0.2">
      <c r="A11" s="3" t="s">
        <v>4</v>
      </c>
      <c r="B11" s="7" t="s">
        <v>7</v>
      </c>
      <c r="C11" s="5">
        <v>2</v>
      </c>
      <c r="D11" s="11" t="s">
        <v>20</v>
      </c>
      <c r="E11" s="5">
        <v>28</v>
      </c>
      <c r="F11" s="5">
        <v>0.38873422383015199</v>
      </c>
      <c r="G11" s="5">
        <f t="shared" si="2"/>
        <v>10.884558267244255</v>
      </c>
      <c r="H11" s="5">
        <v>2.3402985074626865E-2</v>
      </c>
      <c r="I11" s="22">
        <v>2.1090315999999998</v>
      </c>
      <c r="J11" s="23">
        <v>5.3512230235450674E-2</v>
      </c>
      <c r="K11" s="5">
        <f t="shared" si="3"/>
        <v>0.59052884799999994</v>
      </c>
      <c r="L11" s="5">
        <f t="shared" si="4"/>
        <v>316.00515674851454</v>
      </c>
      <c r="M11" s="22">
        <v>37.362757799999997</v>
      </c>
      <c r="N11" s="11" t="s">
        <v>39</v>
      </c>
      <c r="O11" s="5">
        <v>172</v>
      </c>
      <c r="P11" s="5">
        <v>0.29307427029188299</v>
      </c>
      <c r="Q11" s="5">
        <f t="shared" si="5"/>
        <v>50.408774490203875</v>
      </c>
      <c r="R11" s="5">
        <v>0.14376119402985074</v>
      </c>
      <c r="S11" s="22">
        <v>3.1019085999999998</v>
      </c>
      <c r="T11" s="24">
        <v>2.1062055068461299E-2</v>
      </c>
      <c r="U11" s="5">
        <f t="shared" si="6"/>
        <v>5.3352827919999992</v>
      </c>
      <c r="V11" s="5">
        <f t="shared" si="7"/>
        <v>1123.7201997091793</v>
      </c>
      <c r="W11" s="22">
        <v>36.406746099999999</v>
      </c>
      <c r="X11" s="19"/>
      <c r="Y11" s="5">
        <f t="shared" si="0"/>
        <v>200</v>
      </c>
      <c r="Z11" s="5">
        <f t="shared" si="1"/>
        <v>0.16716417910447762</v>
      </c>
      <c r="AA11" s="21">
        <f t="shared" si="8"/>
        <v>61.293332757448127</v>
      </c>
    </row>
    <row r="12" spans="1:27" x14ac:dyDescent="0.2">
      <c r="A12" s="3" t="s">
        <v>4</v>
      </c>
      <c r="B12" s="7" t="s">
        <v>7</v>
      </c>
      <c r="C12" s="5">
        <v>3</v>
      </c>
      <c r="D12" s="11" t="s">
        <v>21</v>
      </c>
      <c r="E12" s="5">
        <v>34</v>
      </c>
      <c r="F12" s="5">
        <v>0.30346184058310899</v>
      </c>
      <c r="G12" s="5">
        <f t="shared" si="2"/>
        <v>10.317702579825706</v>
      </c>
      <c r="H12" s="5">
        <v>3.3322312488191952E-2</v>
      </c>
      <c r="I12" s="22">
        <v>2.1779386999999999</v>
      </c>
      <c r="J12" s="23">
        <v>5.0785620415951985E-2</v>
      </c>
      <c r="K12" s="5">
        <f t="shared" si="3"/>
        <v>0.74049915799999999</v>
      </c>
      <c r="L12" s="5">
        <f t="shared" si="4"/>
        <v>376.06709156520049</v>
      </c>
      <c r="M12" s="22">
        <v>38.504015799999998</v>
      </c>
      <c r="N12" s="11" t="s">
        <v>40</v>
      </c>
      <c r="O12" s="5">
        <v>92</v>
      </c>
      <c r="P12" s="5">
        <v>0.31032211346384397</v>
      </c>
      <c r="Q12" s="5">
        <f t="shared" si="5"/>
        <v>28.549634438673646</v>
      </c>
      <c r="R12" s="5">
        <v>9.0166257320989984E-2</v>
      </c>
      <c r="S12" s="22">
        <v>4.0712912000000001</v>
      </c>
      <c r="T12" s="24">
        <v>3.1771543299229703E-2</v>
      </c>
      <c r="U12" s="5">
        <f t="shared" si="6"/>
        <v>3.7455879040000002</v>
      </c>
      <c r="V12" s="5">
        <f t="shared" si="7"/>
        <v>1190.0310827300705</v>
      </c>
      <c r="W12" s="22">
        <v>36.945667399999998</v>
      </c>
      <c r="X12" s="19"/>
      <c r="Y12" s="5">
        <f t="shared" si="0"/>
        <v>126</v>
      </c>
      <c r="Z12" s="5">
        <f t="shared" si="1"/>
        <v>0.12348856980918194</v>
      </c>
      <c r="AA12" s="21">
        <f t="shared" si="8"/>
        <v>38.867337018499356</v>
      </c>
    </row>
    <row r="13" spans="1:27" x14ac:dyDescent="0.2">
      <c r="A13" s="3" t="s">
        <v>4</v>
      </c>
      <c r="B13" s="7" t="s">
        <v>7</v>
      </c>
      <c r="C13" s="5">
        <v>4</v>
      </c>
      <c r="D13" s="11" t="s">
        <v>22</v>
      </c>
      <c r="E13" s="5">
        <v>30</v>
      </c>
      <c r="F13" s="5">
        <v>0.35144938207438198</v>
      </c>
      <c r="G13" s="5">
        <f t="shared" si="2"/>
        <v>10.54348146223146</v>
      </c>
      <c r="H13" s="5">
        <v>2.0144811656005682E-2</v>
      </c>
      <c r="I13" s="22">
        <v>1.9720726</v>
      </c>
      <c r="J13" s="23">
        <v>4.4076803787385307E-2</v>
      </c>
      <c r="K13" s="5">
        <f t="shared" si="3"/>
        <v>0.59162177999999999</v>
      </c>
      <c r="L13" s="5">
        <f t="shared" si="4"/>
        <v>260.76797113403637</v>
      </c>
      <c r="M13" s="22">
        <v>35.0507171</v>
      </c>
      <c r="N13" s="11" t="s">
        <v>41</v>
      </c>
      <c r="O13" s="5">
        <v>93</v>
      </c>
      <c r="P13" s="5">
        <v>0.31927052127022199</v>
      </c>
      <c r="Q13" s="5">
        <f t="shared" si="5"/>
        <v>29.692158478130644</v>
      </c>
      <c r="R13" s="5">
        <v>6.2448916133617617E-2</v>
      </c>
      <c r="S13" s="22">
        <v>3.8450807</v>
      </c>
      <c r="T13" s="24">
        <v>3.1757644445279301E-2</v>
      </c>
      <c r="U13" s="5">
        <f t="shared" si="6"/>
        <v>3.575925051</v>
      </c>
      <c r="V13" s="5">
        <f t="shared" si="7"/>
        <v>1135.6295633262525</v>
      </c>
      <c r="W13" s="22">
        <v>37.583721099999998</v>
      </c>
      <c r="X13" s="19"/>
      <c r="Y13" s="5">
        <f t="shared" si="0"/>
        <v>123</v>
      </c>
      <c r="Z13" s="5">
        <f t="shared" si="1"/>
        <v>8.2593727789623303E-2</v>
      </c>
      <c r="AA13" s="21">
        <f t="shared" si="8"/>
        <v>40.235639940362105</v>
      </c>
    </row>
    <row r="14" spans="1:27" x14ac:dyDescent="0.2">
      <c r="A14" s="3" t="s">
        <v>4</v>
      </c>
      <c r="B14" s="7" t="s">
        <v>7</v>
      </c>
      <c r="C14" s="5">
        <v>5</v>
      </c>
      <c r="D14" s="11" t="s">
        <v>23</v>
      </c>
      <c r="E14" s="5">
        <v>31</v>
      </c>
      <c r="F14" s="5">
        <v>0.43533337130475103</v>
      </c>
      <c r="G14" s="5">
        <f t="shared" si="2"/>
        <v>13.495334510447282</v>
      </c>
      <c r="H14" s="5">
        <v>2.24013549538939E-2</v>
      </c>
      <c r="I14" s="22">
        <v>2.1329463999999998</v>
      </c>
      <c r="J14" s="23">
        <v>3.6474277734983122E-2</v>
      </c>
      <c r="K14" s="5">
        <f t="shared" si="3"/>
        <v>0.66121338399999996</v>
      </c>
      <c r="L14" s="5">
        <f t="shared" si="4"/>
        <v>241.17280610104044</v>
      </c>
      <c r="M14" s="22">
        <v>36.919298300000001</v>
      </c>
      <c r="N14" s="11" t="s">
        <v>42</v>
      </c>
      <c r="O14" s="5">
        <v>80</v>
      </c>
      <c r="P14" s="5">
        <v>0.28213407318535999</v>
      </c>
      <c r="Q14" s="5">
        <f t="shared" si="5"/>
        <v>22.570725854828801</v>
      </c>
      <c r="R14" s="5">
        <v>5.7809936010048697E-2</v>
      </c>
      <c r="S14" s="22">
        <v>4.8567809000000004</v>
      </c>
      <c r="T14" s="24">
        <v>2.787036466277926E-2</v>
      </c>
      <c r="U14" s="5">
        <f t="shared" si="6"/>
        <v>3.8854247200000005</v>
      </c>
      <c r="V14" s="5">
        <f t="shared" si="7"/>
        <v>1082.8820381617702</v>
      </c>
      <c r="W14" s="22">
        <v>39.287104599999999</v>
      </c>
      <c r="X14" s="19"/>
      <c r="Y14" s="5">
        <f t="shared" si="0"/>
        <v>111</v>
      </c>
      <c r="Z14" s="5">
        <f t="shared" si="1"/>
        <v>8.0211290963942597E-2</v>
      </c>
      <c r="AA14" s="21">
        <f t="shared" si="8"/>
        <v>36.066060365276087</v>
      </c>
    </row>
    <row r="15" spans="1:27" x14ac:dyDescent="0.2">
      <c r="A15" s="3" t="s">
        <v>4</v>
      </c>
      <c r="B15" s="7" t="s">
        <v>7</v>
      </c>
      <c r="C15" s="5">
        <v>6</v>
      </c>
      <c r="D15" s="11" t="s">
        <v>24</v>
      </c>
      <c r="E15" s="5">
        <v>38</v>
      </c>
      <c r="F15" s="5">
        <v>0.35759472277195897</v>
      </c>
      <c r="G15" s="5">
        <f t="shared" si="2"/>
        <v>13.588599465334442</v>
      </c>
      <c r="H15" s="5">
        <v>2.4107330550466981E-2</v>
      </c>
      <c r="I15" s="22">
        <v>2.0833145000000002</v>
      </c>
      <c r="J15" s="23">
        <v>5.1741104411237936E-2</v>
      </c>
      <c r="K15" s="5">
        <f t="shared" si="3"/>
        <v>0.79165951000000012</v>
      </c>
      <c r="L15" s="5">
        <f t="shared" si="4"/>
        <v>409.61337365059467</v>
      </c>
      <c r="M15" s="22">
        <v>35.734674499999997</v>
      </c>
      <c r="N15" s="11" t="s">
        <v>43</v>
      </c>
      <c r="O15" s="5">
        <v>113</v>
      </c>
      <c r="P15" s="5">
        <v>0.28869476104779002</v>
      </c>
      <c r="Q15" s="5">
        <f t="shared" si="5"/>
        <v>32.622507998400273</v>
      </c>
      <c r="R15" s="5">
        <v>7.1687588215862338E-2</v>
      </c>
      <c r="S15" s="22">
        <v>4.3741522000000002</v>
      </c>
      <c r="T15" s="24">
        <v>2.0517153282879501E-2</v>
      </c>
      <c r="U15" s="5">
        <f t="shared" si="6"/>
        <v>4.9427919860000005</v>
      </c>
      <c r="V15" s="5">
        <f t="shared" si="7"/>
        <v>1014.120208221504</v>
      </c>
      <c r="W15" s="22">
        <v>36.7298416</v>
      </c>
      <c r="X15" s="19"/>
      <c r="Y15" s="5">
        <f t="shared" si="0"/>
        <v>151</v>
      </c>
      <c r="Z15" s="5">
        <f t="shared" si="1"/>
        <v>9.5794918766329312E-2</v>
      </c>
      <c r="AA15" s="21">
        <f t="shared" si="8"/>
        <v>46.211107463734713</v>
      </c>
    </row>
    <row r="16" spans="1:27" x14ac:dyDescent="0.2">
      <c r="A16" s="3" t="s">
        <v>4</v>
      </c>
      <c r="B16" s="8" t="s">
        <v>8</v>
      </c>
      <c r="C16" s="5">
        <v>2</v>
      </c>
      <c r="D16" s="11" t="s">
        <v>25</v>
      </c>
      <c r="E16" s="5">
        <v>31</v>
      </c>
      <c r="F16" s="5">
        <v>0.52146907496713601</v>
      </c>
      <c r="G16" s="5">
        <f t="shared" si="2"/>
        <v>16.165541323981216</v>
      </c>
      <c r="H16" s="5">
        <v>0.23747910740990533</v>
      </c>
      <c r="I16" s="22">
        <v>2.4657502999999998</v>
      </c>
      <c r="J16" s="23">
        <v>0.14981746968722301</v>
      </c>
      <c r="K16" s="5">
        <f t="shared" si="3"/>
        <v>0.764382593</v>
      </c>
      <c r="L16" s="5">
        <f t="shared" si="4"/>
        <v>1145.1786595621843</v>
      </c>
      <c r="M16" s="22">
        <v>39.934053400000003</v>
      </c>
      <c r="N16" s="11" t="s">
        <v>44</v>
      </c>
      <c r="O16" s="5">
        <v>45</v>
      </c>
      <c r="P16" s="5">
        <v>0.42225499001995997</v>
      </c>
      <c r="Q16" s="5">
        <f t="shared" si="5"/>
        <v>19.001474550898198</v>
      </c>
      <c r="R16" s="5">
        <v>0.5537086180101457</v>
      </c>
      <c r="S16" s="22">
        <v>4.3076128000000002</v>
      </c>
      <c r="T16" s="24">
        <v>0.14843938249349201</v>
      </c>
      <c r="U16" s="5">
        <f t="shared" si="6"/>
        <v>1.9384257600000001</v>
      </c>
      <c r="V16" s="5">
        <f t="shared" si="7"/>
        <v>2877.3872282387797</v>
      </c>
      <c r="W16" s="22">
        <v>34.565124599999997</v>
      </c>
      <c r="X16" s="19"/>
      <c r="Y16" s="5">
        <f t="shared" si="0"/>
        <v>76</v>
      </c>
      <c r="Z16" s="5">
        <f t="shared" si="1"/>
        <v>0.791187725420051</v>
      </c>
      <c r="AA16" s="21">
        <f t="shared" si="8"/>
        <v>35.167015874879411</v>
      </c>
    </row>
    <row r="17" spans="1:27" x14ac:dyDescent="0.2">
      <c r="A17" s="3" t="s">
        <v>4</v>
      </c>
      <c r="B17" s="8" t="s">
        <v>8</v>
      </c>
      <c r="C17" s="5">
        <v>3</v>
      </c>
      <c r="D17" s="11" t="s">
        <v>26</v>
      </c>
      <c r="E17" s="5">
        <v>42</v>
      </c>
      <c r="F17" s="5">
        <v>0.48178590549568201</v>
      </c>
      <c r="G17" s="5">
        <f t="shared" si="2"/>
        <v>20.235008030818644</v>
      </c>
      <c r="H17" s="5">
        <v>0.4483452303698896</v>
      </c>
      <c r="I17" s="22">
        <v>2.5447226999999999</v>
      </c>
      <c r="J17" s="23">
        <v>0.14547517050981701</v>
      </c>
      <c r="K17" s="5">
        <f t="shared" si="3"/>
        <v>1.068783534</v>
      </c>
      <c r="L17" s="5">
        <f t="shared" si="4"/>
        <v>1554.8146684673479</v>
      </c>
      <c r="M17" s="22">
        <v>37.634411800000002</v>
      </c>
      <c r="N17" s="11" t="s">
        <v>45</v>
      </c>
      <c r="O17" s="5">
        <v>156</v>
      </c>
      <c r="P17" s="5">
        <v>0.46300789053136238</v>
      </c>
      <c r="Q17" s="5">
        <f t="shared" si="5"/>
        <v>72.229230922892526</v>
      </c>
      <c r="R17" s="5">
        <v>1.6652822842310187</v>
      </c>
      <c r="S17" s="22">
        <v>5.1603802999999999</v>
      </c>
      <c r="T17" s="24">
        <v>6.7781461106447907E-2</v>
      </c>
      <c r="U17" s="5">
        <f t="shared" si="6"/>
        <v>8.050193268000001</v>
      </c>
      <c r="V17" s="5">
        <f t="shared" si="7"/>
        <v>5456.5386189433075</v>
      </c>
      <c r="W17" s="22">
        <v>33.611022400000003</v>
      </c>
      <c r="X17" s="19"/>
      <c r="Y17" s="5">
        <f t="shared" si="0"/>
        <v>198</v>
      </c>
      <c r="Z17" s="5">
        <f t="shared" si="1"/>
        <v>2.1136275146009083</v>
      </c>
      <c r="AA17" s="21">
        <f t="shared" si="8"/>
        <v>92.464238953711174</v>
      </c>
    </row>
    <row r="18" spans="1:27" x14ac:dyDescent="0.2">
      <c r="A18" s="3" t="s">
        <v>4</v>
      </c>
      <c r="B18" s="8" t="s">
        <v>8</v>
      </c>
      <c r="C18" s="5">
        <v>4</v>
      </c>
      <c r="D18" s="11" t="s">
        <v>27</v>
      </c>
      <c r="E18" s="5">
        <v>46</v>
      </c>
      <c r="F18" s="5">
        <v>0.48523526813900603</v>
      </c>
      <c r="G18" s="5">
        <f t="shared" si="2"/>
        <v>22.320822334394276</v>
      </c>
      <c r="H18" s="5">
        <v>0.50719131614654001</v>
      </c>
      <c r="I18" s="22">
        <v>2.3910469999999999</v>
      </c>
      <c r="J18" s="23">
        <v>0.142571889985633</v>
      </c>
      <c r="K18" s="5">
        <f t="shared" si="3"/>
        <v>1.0998816200000001</v>
      </c>
      <c r="L18" s="5">
        <f t="shared" si="4"/>
        <v>1568.1220132385981</v>
      </c>
      <c r="M18" s="22">
        <v>35.148448600000002</v>
      </c>
      <c r="N18" s="11" t="s">
        <v>46</v>
      </c>
      <c r="O18" s="5">
        <v>87</v>
      </c>
      <c r="P18" s="5">
        <v>0.4803778953674121</v>
      </c>
      <c r="Q18" s="5">
        <f t="shared" si="5"/>
        <v>41.792876896964856</v>
      </c>
      <c r="R18" s="5">
        <v>0.95925314140758655</v>
      </c>
      <c r="S18" s="22">
        <v>5.0471567999999998</v>
      </c>
      <c r="T18" s="24">
        <v>7.1857996822109263E-2</v>
      </c>
      <c r="U18" s="5">
        <f t="shared" si="6"/>
        <v>4.3910264159999999</v>
      </c>
      <c r="V18" s="5">
        <f t="shared" si="7"/>
        <v>3155.3036224672583</v>
      </c>
      <c r="W18" s="22">
        <v>34.414650299999998</v>
      </c>
      <c r="X18" s="19"/>
      <c r="Y18" s="5">
        <f t="shared" si="0"/>
        <v>133</v>
      </c>
      <c r="Z18" s="5">
        <f t="shared" si="1"/>
        <v>1.4664444575541267</v>
      </c>
      <c r="AA18" s="21">
        <f t="shared" si="8"/>
        <v>64.113699231359135</v>
      </c>
    </row>
    <row r="19" spans="1:27" x14ac:dyDescent="0.2">
      <c r="A19" s="3" t="s">
        <v>4</v>
      </c>
      <c r="B19" s="8" t="s">
        <v>8</v>
      </c>
      <c r="C19" s="5">
        <v>5</v>
      </c>
      <c r="D19" s="11" t="s">
        <v>28</v>
      </c>
      <c r="E19" s="5">
        <v>49</v>
      </c>
      <c r="F19" s="5">
        <v>0.44071839943327801</v>
      </c>
      <c r="G19" s="5">
        <f t="shared" si="2"/>
        <v>21.595201572230621</v>
      </c>
      <c r="H19" s="5">
        <v>0.76175334824849061</v>
      </c>
      <c r="I19" s="22">
        <v>2.5415776999999999</v>
      </c>
      <c r="J19" s="23">
        <v>0.15916710640625786</v>
      </c>
      <c r="K19" s="5">
        <f t="shared" si="3"/>
        <v>1.2453730729999999</v>
      </c>
      <c r="L19" s="5">
        <f t="shared" si="4"/>
        <v>1982.2242842567935</v>
      </c>
      <c r="M19" s="22">
        <v>35.083007700000003</v>
      </c>
      <c r="N19" s="11" t="s">
        <v>47</v>
      </c>
      <c r="O19" s="5">
        <v>52</v>
      </c>
      <c r="P19" s="5">
        <v>0.43391137090327747</v>
      </c>
      <c r="Q19" s="5">
        <f t="shared" si="5"/>
        <v>22.563391286970429</v>
      </c>
      <c r="R19" s="5">
        <v>0.8083913083453369</v>
      </c>
      <c r="S19" s="22">
        <v>4.7959193999999998</v>
      </c>
      <c r="T19" s="24">
        <v>0.1036080771631786</v>
      </c>
      <c r="U19" s="5">
        <f t="shared" si="6"/>
        <v>2.4938780879999998</v>
      </c>
      <c r="V19" s="5">
        <f t="shared" si="7"/>
        <v>2583.859133770643</v>
      </c>
      <c r="W19" s="22">
        <v>34.291514599999999</v>
      </c>
      <c r="X19" s="19"/>
      <c r="Y19" s="5">
        <f t="shared" si="0"/>
        <v>101</v>
      </c>
      <c r="Z19" s="5">
        <f t="shared" si="1"/>
        <v>1.5701446565938275</v>
      </c>
      <c r="AA19" s="21">
        <f t="shared" si="8"/>
        <v>44.15859285920105</v>
      </c>
    </row>
    <row r="20" spans="1:27" x14ac:dyDescent="0.2">
      <c r="A20" s="3" t="s">
        <v>4</v>
      </c>
      <c r="B20" s="8" t="s">
        <v>8</v>
      </c>
      <c r="C20" s="5">
        <v>6</v>
      </c>
      <c r="D20" s="11" t="s">
        <v>29</v>
      </c>
      <c r="E20" s="5">
        <v>39</v>
      </c>
      <c r="F20" s="5">
        <v>0.52032211346384405</v>
      </c>
      <c r="G20" s="5">
        <f t="shared" si="2"/>
        <v>20.292562425089919</v>
      </c>
      <c r="H20" s="5">
        <v>0.58584310589907596</v>
      </c>
      <c r="I20" s="22">
        <v>2.7026921000000002</v>
      </c>
      <c r="J20" s="23">
        <v>0.12984785257784628</v>
      </c>
      <c r="K20" s="5">
        <f t="shared" si="3"/>
        <v>1.0540499189999999</v>
      </c>
      <c r="L20" s="5">
        <f t="shared" si="4"/>
        <v>1368.6611849200281</v>
      </c>
      <c r="M20" s="22">
        <v>37.744812099999997</v>
      </c>
      <c r="N20" s="11" t="s">
        <v>48</v>
      </c>
      <c r="O20" s="5">
        <v>73</v>
      </c>
      <c r="P20" s="5">
        <v>0.45185264735264702</v>
      </c>
      <c r="Q20" s="5">
        <f t="shared" si="5"/>
        <v>32.985243256743232</v>
      </c>
      <c r="R20" s="5">
        <v>1.0965781212982704</v>
      </c>
      <c r="S20" s="22">
        <v>5.4898907000000001</v>
      </c>
      <c r="T20" s="24">
        <v>9.1700548816110727E-2</v>
      </c>
      <c r="U20" s="5">
        <f t="shared" si="6"/>
        <v>4.0076202109999999</v>
      </c>
      <c r="V20" s="5">
        <f t="shared" si="7"/>
        <v>3675.0097279523752</v>
      </c>
      <c r="W20" s="22">
        <v>32.986757099999998</v>
      </c>
      <c r="X20" s="19"/>
      <c r="Y20" s="5">
        <f t="shared" si="0"/>
        <v>112</v>
      </c>
      <c r="Z20" s="5">
        <f t="shared" si="1"/>
        <v>1.6824212271973464</v>
      </c>
      <c r="AA20" s="21">
        <f t="shared" si="8"/>
        <v>53.277805681833151</v>
      </c>
    </row>
    <row r="21" spans="1:27" x14ac:dyDescent="0.2">
      <c r="A21" s="9" t="s">
        <v>9</v>
      </c>
      <c r="B21" s="4" t="s">
        <v>5</v>
      </c>
      <c r="C21" s="5">
        <v>1</v>
      </c>
      <c r="D21" s="13" t="s">
        <v>117</v>
      </c>
      <c r="E21" s="5">
        <v>39</v>
      </c>
      <c r="F21" s="5">
        <v>0.120893638170974</v>
      </c>
      <c r="G21" s="5">
        <f t="shared" si="2"/>
        <v>4.7148518886679858</v>
      </c>
      <c r="H21" s="5">
        <v>8.6394948335246822E-4</v>
      </c>
      <c r="I21" s="22">
        <v>0.92117729999999998</v>
      </c>
      <c r="J21" s="23">
        <v>3.95862748319902E-3</v>
      </c>
      <c r="K21" s="5">
        <f t="shared" si="3"/>
        <v>0.359259147</v>
      </c>
      <c r="L21" s="5">
        <f t="shared" si="4"/>
        <v>14.221731329048367</v>
      </c>
      <c r="M21" s="22">
        <v>38.243056500000002</v>
      </c>
      <c r="N21" s="13" t="s">
        <v>121</v>
      </c>
      <c r="O21" s="5">
        <v>30</v>
      </c>
      <c r="P21" s="5">
        <v>0.15481620553360001</v>
      </c>
      <c r="Q21" s="5">
        <f t="shared" si="5"/>
        <v>4.6444861660079999</v>
      </c>
      <c r="R21" s="5">
        <v>1.34328358208955E-3</v>
      </c>
      <c r="S21" s="22">
        <v>3.5503980999999998</v>
      </c>
      <c r="T21" s="24">
        <v>4.1065361666408912E-3</v>
      </c>
      <c r="U21" s="5">
        <f t="shared" si="6"/>
        <v>1.06511943</v>
      </c>
      <c r="V21" s="5">
        <f t="shared" si="7"/>
        <v>43.739514610869307</v>
      </c>
      <c r="W21" s="22">
        <v>39.731807699999997</v>
      </c>
      <c r="X21" s="19"/>
      <c r="Y21" s="5">
        <f t="shared" si="0"/>
        <v>69</v>
      </c>
      <c r="Z21" s="5">
        <f t="shared" si="1"/>
        <v>2.2072330654420184E-3</v>
      </c>
      <c r="AA21" s="21">
        <f t="shared" si="8"/>
        <v>9.3593380546759857</v>
      </c>
    </row>
    <row r="22" spans="1:27" x14ac:dyDescent="0.2">
      <c r="A22" s="9" t="s">
        <v>9</v>
      </c>
      <c r="B22" s="4" t="s">
        <v>5</v>
      </c>
      <c r="C22" s="5">
        <v>2</v>
      </c>
      <c r="D22" s="13" t="s">
        <v>118</v>
      </c>
      <c r="E22" s="5">
        <v>10</v>
      </c>
      <c r="F22" s="5">
        <v>0.26130911823647296</v>
      </c>
      <c r="G22" s="5">
        <f t="shared" si="2"/>
        <v>2.6130911823647294</v>
      </c>
      <c r="H22" s="5">
        <v>6.5838472309113127E-4</v>
      </c>
      <c r="I22" s="22">
        <v>0.83619169999999998</v>
      </c>
      <c r="J22" s="23">
        <v>3.93090479355028E-3</v>
      </c>
      <c r="K22" s="5">
        <f t="shared" si="3"/>
        <v>8.3619170000000007E-2</v>
      </c>
      <c r="L22" s="5">
        <f t="shared" si="4"/>
        <v>3.2869899618569578</v>
      </c>
      <c r="M22" s="22">
        <v>36.359017700000003</v>
      </c>
      <c r="N22" s="13" t="s">
        <v>122</v>
      </c>
      <c r="O22" s="5">
        <v>9</v>
      </c>
      <c r="P22" s="5">
        <v>0.24765277777778</v>
      </c>
      <c r="Q22" s="5">
        <f t="shared" si="5"/>
        <v>2.2288750000000199</v>
      </c>
      <c r="R22" s="5">
        <v>1.3167694461822625E-3</v>
      </c>
      <c r="S22" s="22">
        <v>7.4917873999999998</v>
      </c>
      <c r="T22" s="24">
        <v>4.1213457348283624E-3</v>
      </c>
      <c r="U22" s="5">
        <f t="shared" si="6"/>
        <v>0.6742608659999999</v>
      </c>
      <c r="V22" s="5">
        <f t="shared" si="7"/>
        <v>27.788621442507775</v>
      </c>
      <c r="W22" s="22">
        <v>37.841540600000002</v>
      </c>
      <c r="X22" s="19"/>
      <c r="Y22" s="5">
        <f t="shared" si="0"/>
        <v>19</v>
      </c>
      <c r="Z22" s="5">
        <f t="shared" si="1"/>
        <v>1.9751541692733937E-3</v>
      </c>
      <c r="AA22" s="21">
        <f t="shared" si="8"/>
        <v>4.8419661823647493</v>
      </c>
    </row>
    <row r="23" spans="1:27" x14ac:dyDescent="0.2">
      <c r="A23" s="9" t="s">
        <v>9</v>
      </c>
      <c r="B23" s="4" t="s">
        <v>5</v>
      </c>
      <c r="C23" s="5">
        <v>3</v>
      </c>
      <c r="D23" s="13" t="s">
        <v>119</v>
      </c>
      <c r="E23" s="5">
        <v>10</v>
      </c>
      <c r="F23" s="5">
        <v>0.27887115384615402</v>
      </c>
      <c r="G23" s="5">
        <f t="shared" si="2"/>
        <v>2.7887115384615404</v>
      </c>
      <c r="H23" s="5">
        <v>1.3878626668637011E-3</v>
      </c>
      <c r="I23" s="22">
        <v>0.91035679999999997</v>
      </c>
      <c r="J23" s="23">
        <v>3.6291940442553E-3</v>
      </c>
      <c r="K23" s="5">
        <f t="shared" si="3"/>
        <v>9.1035679999999994E-2</v>
      </c>
      <c r="L23" s="5">
        <f t="shared" si="4"/>
        <v>3.3038614767073127</v>
      </c>
      <c r="M23" s="22">
        <v>37.662901699999999</v>
      </c>
      <c r="N23" s="13" t="s">
        <v>123</v>
      </c>
      <c r="O23" s="5">
        <v>5</v>
      </c>
      <c r="P23" s="5">
        <v>0.28671371769384002</v>
      </c>
      <c r="Q23" s="5">
        <f t="shared" si="5"/>
        <v>1.4335685884692002</v>
      </c>
      <c r="R23" s="5">
        <v>3.6254371705827294E-3</v>
      </c>
      <c r="S23" s="22">
        <v>5.6506328000000003</v>
      </c>
      <c r="T23" s="24">
        <v>3.983903415353653E-3</v>
      </c>
      <c r="U23" s="5">
        <f t="shared" si="6"/>
        <v>0.28253164000000003</v>
      </c>
      <c r="V23" s="5">
        <f t="shared" si="7"/>
        <v>11.255787655414688</v>
      </c>
      <c r="W23" s="22">
        <v>39.446368</v>
      </c>
      <c r="X23" s="19"/>
      <c r="Y23" s="5">
        <f t="shared" si="0"/>
        <v>15</v>
      </c>
      <c r="Z23" s="5">
        <f t="shared" si="1"/>
        <v>5.0132998374464305E-3</v>
      </c>
      <c r="AA23" s="21">
        <f t="shared" si="8"/>
        <v>4.2222801269307411</v>
      </c>
    </row>
    <row r="24" spans="1:27" x14ac:dyDescent="0.2">
      <c r="A24" s="9" t="s">
        <v>9</v>
      </c>
      <c r="B24" s="4" t="s">
        <v>5</v>
      </c>
      <c r="C24" s="5">
        <v>4</v>
      </c>
      <c r="D24" s="13" t="s">
        <v>120</v>
      </c>
      <c r="E24" s="5">
        <v>11</v>
      </c>
      <c r="F24" s="5">
        <v>0.28484570957095701</v>
      </c>
      <c r="G24" s="5">
        <f t="shared" si="2"/>
        <v>3.1333028052805272</v>
      </c>
      <c r="H24" s="5">
        <v>7.8426604249627629E-4</v>
      </c>
      <c r="I24" s="22">
        <v>0.99605849999999996</v>
      </c>
      <c r="J24" s="23">
        <v>3.7438813269652202E-3</v>
      </c>
      <c r="K24" s="5">
        <f t="shared" si="3"/>
        <v>0.109566435</v>
      </c>
      <c r="L24" s="5">
        <f t="shared" si="4"/>
        <v>4.1020373005864856</v>
      </c>
      <c r="M24" s="22">
        <v>40.269296599999997</v>
      </c>
      <c r="N24" s="13" t="s">
        <v>124</v>
      </c>
      <c r="O24" s="5">
        <v>9</v>
      </c>
      <c r="P24" s="5">
        <v>0.28567181814999998</v>
      </c>
      <c r="Q24" s="5">
        <f t="shared" si="5"/>
        <v>2.5710463633499998</v>
      </c>
      <c r="R24" s="5">
        <v>1.3131896525519044E-3</v>
      </c>
      <c r="S24" s="22">
        <v>3.8946320000000001</v>
      </c>
      <c r="T24" s="24">
        <v>4.0856416071416608E-3</v>
      </c>
      <c r="U24" s="5">
        <f t="shared" si="6"/>
        <v>0.35051687999999998</v>
      </c>
      <c r="V24" s="5">
        <f t="shared" si="7"/>
        <v>14.320863489334807</v>
      </c>
      <c r="W24" s="22">
        <v>40.079767099999998</v>
      </c>
      <c r="X24" s="19"/>
      <c r="Y24" s="5">
        <f t="shared" si="0"/>
        <v>20</v>
      </c>
      <c r="Z24" s="5">
        <f t="shared" si="1"/>
        <v>2.0974556950481807E-3</v>
      </c>
      <c r="AA24" s="21">
        <f t="shared" si="8"/>
        <v>5.704349168630527</v>
      </c>
    </row>
    <row r="25" spans="1:27" x14ac:dyDescent="0.2">
      <c r="A25" s="9" t="s">
        <v>9</v>
      </c>
      <c r="B25" s="6" t="s">
        <v>6</v>
      </c>
      <c r="C25" s="5">
        <v>1</v>
      </c>
      <c r="D25" s="11" t="s">
        <v>54</v>
      </c>
      <c r="E25" s="5">
        <v>22</v>
      </c>
      <c r="F25" s="5">
        <v>0.40104275653923543</v>
      </c>
      <c r="G25" s="5">
        <f t="shared" si="2"/>
        <v>8.8229406438631788</v>
      </c>
      <c r="H25" s="5">
        <v>8.1276784394857388E-2</v>
      </c>
      <c r="I25" s="22">
        <v>1.2569642000000001</v>
      </c>
      <c r="J25" s="23">
        <v>3.8679795099850645E-2</v>
      </c>
      <c r="K25" s="5">
        <f t="shared" si="3"/>
        <v>0.27653212399999999</v>
      </c>
      <c r="L25" s="5">
        <f t="shared" si="4"/>
        <v>106.96205894846491</v>
      </c>
      <c r="M25" s="22">
        <v>41.9965215</v>
      </c>
      <c r="N25" s="11" t="s">
        <v>64</v>
      </c>
      <c r="O25" s="5">
        <v>80</v>
      </c>
      <c r="P25" s="5">
        <v>0.250478533593532</v>
      </c>
      <c r="Q25" s="5">
        <f t="shared" si="5"/>
        <v>20.03828268748256</v>
      </c>
      <c r="R25" s="5">
        <v>0.29555194325402689</v>
      </c>
      <c r="S25" s="22">
        <v>3.7373094999999998</v>
      </c>
      <c r="T25" s="24">
        <v>9.2876880924804534E-2</v>
      </c>
      <c r="U25" s="5">
        <f t="shared" si="6"/>
        <v>2.9898476</v>
      </c>
      <c r="V25" s="5">
        <f t="shared" si="7"/>
        <v>2776.8771952851262</v>
      </c>
      <c r="W25" s="22">
        <v>40.191858400000001</v>
      </c>
      <c r="X25" s="19"/>
      <c r="Y25" s="5">
        <f t="shared" si="0"/>
        <v>102</v>
      </c>
      <c r="Z25" s="5">
        <f t="shared" si="1"/>
        <v>0.37682872764888431</v>
      </c>
      <c r="AA25" s="21">
        <f t="shared" si="8"/>
        <v>28.861223331345741</v>
      </c>
    </row>
    <row r="26" spans="1:27" x14ac:dyDescent="0.2">
      <c r="A26" s="9" t="s">
        <v>9</v>
      </c>
      <c r="B26" s="6" t="s">
        <v>6</v>
      </c>
      <c r="C26" s="5">
        <v>2</v>
      </c>
      <c r="D26" s="11" t="s">
        <v>55</v>
      </c>
      <c r="E26" s="5">
        <v>12</v>
      </c>
      <c r="F26" s="5">
        <v>0.55122635135135134</v>
      </c>
      <c r="G26" s="5">
        <f t="shared" si="2"/>
        <v>6.6147162162162161</v>
      </c>
      <c r="H26" s="5">
        <v>4.3984400199395944E-2</v>
      </c>
      <c r="I26" s="22">
        <v>1.2265010999999999</v>
      </c>
      <c r="J26" s="23">
        <v>4.9652013937155341E-2</v>
      </c>
      <c r="K26" s="5">
        <f t="shared" si="3"/>
        <v>0.14718013199999999</v>
      </c>
      <c r="L26" s="5">
        <f t="shared" si="4"/>
        <v>73.077899653363616</v>
      </c>
      <c r="M26" s="22">
        <v>37.242831700000004</v>
      </c>
      <c r="N26" s="11" t="s">
        <v>65</v>
      </c>
      <c r="O26" s="5">
        <v>21</v>
      </c>
      <c r="P26" s="5">
        <v>0.33029409442602198</v>
      </c>
      <c r="Q26" s="5">
        <f t="shared" si="5"/>
        <v>6.9361759829464615</v>
      </c>
      <c r="R26" s="5">
        <v>7.6972700348942907E-2</v>
      </c>
      <c r="S26" s="22">
        <v>7.6047617000000001</v>
      </c>
      <c r="T26" s="24">
        <v>0.14927551245235113</v>
      </c>
      <c r="U26" s="5">
        <f t="shared" si="6"/>
        <v>1.596999957</v>
      </c>
      <c r="V26" s="5">
        <f t="shared" si="7"/>
        <v>2383.9298696755768</v>
      </c>
      <c r="W26" s="22">
        <v>40.793578199999999</v>
      </c>
      <c r="X26" s="19"/>
      <c r="Y26" s="5">
        <f t="shared" si="0"/>
        <v>33</v>
      </c>
      <c r="Z26" s="5">
        <f t="shared" si="1"/>
        <v>0.12095710054833886</v>
      </c>
      <c r="AA26" s="21">
        <f t="shared" si="8"/>
        <v>13.550892199162679</v>
      </c>
    </row>
    <row r="27" spans="1:27" x14ac:dyDescent="0.2">
      <c r="A27" s="9" t="s">
        <v>9</v>
      </c>
      <c r="B27" s="6" t="s">
        <v>6</v>
      </c>
      <c r="C27" s="5">
        <v>4</v>
      </c>
      <c r="D27" s="11" t="s">
        <v>56</v>
      </c>
      <c r="E27" s="5">
        <v>11</v>
      </c>
      <c r="F27" s="5">
        <v>0.481513861386139</v>
      </c>
      <c r="G27" s="5">
        <f t="shared" si="2"/>
        <v>5.2966524752475292</v>
      </c>
      <c r="H27" s="5">
        <v>4.0082789179104475E-2</v>
      </c>
      <c r="I27" s="22">
        <v>1.3376428</v>
      </c>
      <c r="J27" s="23">
        <v>5.0815093393261401E-2</v>
      </c>
      <c r="K27" s="5">
        <f t="shared" si="3"/>
        <v>0.14714070800000001</v>
      </c>
      <c r="L27" s="5">
        <f t="shared" si="4"/>
        <v>74.769688189706045</v>
      </c>
      <c r="M27" s="22">
        <v>38.912417900000001</v>
      </c>
      <c r="N27" s="11" t="s">
        <v>66</v>
      </c>
      <c r="O27" s="5">
        <v>16</v>
      </c>
      <c r="P27" s="5">
        <v>0.384881847133758</v>
      </c>
      <c r="Q27" s="5">
        <f t="shared" si="5"/>
        <v>6.1581095541401281</v>
      </c>
      <c r="R27" s="5">
        <v>5.8302238805970144E-2</v>
      </c>
      <c r="S27" s="22">
        <v>6.6909780000000003</v>
      </c>
      <c r="T27" s="24">
        <v>0.16788056034327326</v>
      </c>
      <c r="U27" s="5">
        <f t="shared" si="6"/>
        <v>1.07055648</v>
      </c>
      <c r="V27" s="5">
        <f t="shared" si="7"/>
        <v>1797.2562174152224</v>
      </c>
      <c r="W27" s="22">
        <v>41.664679599999999</v>
      </c>
      <c r="X27" s="19"/>
      <c r="Y27" s="5">
        <f t="shared" si="0"/>
        <v>27</v>
      </c>
      <c r="Z27" s="5">
        <f t="shared" si="1"/>
        <v>9.8385027985074619E-2</v>
      </c>
      <c r="AA27" s="21">
        <f t="shared" si="8"/>
        <v>11.454762029387657</v>
      </c>
    </row>
    <row r="28" spans="1:27" x14ac:dyDescent="0.2">
      <c r="A28" s="9" t="s">
        <v>9</v>
      </c>
      <c r="B28" s="6" t="s">
        <v>6</v>
      </c>
      <c r="C28" s="5">
        <v>5</v>
      </c>
      <c r="D28" s="11" t="s">
        <v>57</v>
      </c>
      <c r="E28" s="5">
        <v>24</v>
      </c>
      <c r="F28" s="5">
        <v>0.38978733766233764</v>
      </c>
      <c r="G28" s="5">
        <f t="shared" si="2"/>
        <v>9.3548961038961025</v>
      </c>
      <c r="H28" s="5">
        <v>8.9373491822325499E-2</v>
      </c>
      <c r="I28" s="22">
        <v>1.4300196000000001</v>
      </c>
      <c r="J28" s="23">
        <v>3.9864341374696299E-2</v>
      </c>
      <c r="K28" s="5">
        <f t="shared" si="3"/>
        <v>0.34320470400000003</v>
      </c>
      <c r="L28" s="5">
        <f t="shared" si="4"/>
        <v>136.81629481657598</v>
      </c>
      <c r="M28" s="22">
        <v>41.877309400000001</v>
      </c>
      <c r="N28" s="11" t="s">
        <v>67</v>
      </c>
      <c r="O28" s="5">
        <v>60</v>
      </c>
      <c r="P28" s="5">
        <v>0.19601961792799411</v>
      </c>
      <c r="Q28" s="5">
        <f t="shared" si="5"/>
        <v>11.761177075679646</v>
      </c>
      <c r="R28" s="5">
        <v>0.22343372955581373</v>
      </c>
      <c r="S28" s="22">
        <v>4.828748</v>
      </c>
      <c r="T28" s="24">
        <v>8.9990138093588093E-2</v>
      </c>
      <c r="U28" s="5">
        <f t="shared" si="6"/>
        <v>2.8972487999999998</v>
      </c>
      <c r="V28" s="5">
        <f t="shared" si="7"/>
        <v>2607.2381960348239</v>
      </c>
      <c r="W28" s="22">
        <v>40.321877000000001</v>
      </c>
      <c r="X28" s="19"/>
      <c r="Y28" s="5">
        <f t="shared" si="0"/>
        <v>84</v>
      </c>
      <c r="Z28" s="5">
        <f t="shared" si="1"/>
        <v>0.31280722137813921</v>
      </c>
      <c r="AA28" s="21">
        <f t="shared" si="8"/>
        <v>21.11607317957575</v>
      </c>
    </row>
    <row r="29" spans="1:27" x14ac:dyDescent="0.2">
      <c r="A29" s="9" t="s">
        <v>9</v>
      </c>
      <c r="B29" s="6" t="s">
        <v>6</v>
      </c>
      <c r="C29" s="5">
        <v>6</v>
      </c>
      <c r="D29" s="11" t="s">
        <v>58</v>
      </c>
      <c r="E29" s="5">
        <v>16</v>
      </c>
      <c r="F29" s="5">
        <v>0.37131571146245101</v>
      </c>
      <c r="G29" s="5">
        <f t="shared" si="2"/>
        <v>5.9410513833992162</v>
      </c>
      <c r="H29" s="5">
        <v>5.9227671167969669E-2</v>
      </c>
      <c r="I29" s="22">
        <v>1.4003991</v>
      </c>
      <c r="J29" s="23">
        <v>5.2094609281898657E-2</v>
      </c>
      <c r="K29" s="5">
        <f t="shared" si="3"/>
        <v>0.22406385600000001</v>
      </c>
      <c r="L29" s="5">
        <f t="shared" si="4"/>
        <v>116.72519032515605</v>
      </c>
      <c r="M29" s="22">
        <v>41.3626425</v>
      </c>
      <c r="N29" s="11" t="s">
        <v>68</v>
      </c>
      <c r="O29" s="5">
        <v>35</v>
      </c>
      <c r="P29" s="5">
        <v>0.20592288213627996</v>
      </c>
      <c r="Q29" s="5">
        <f t="shared" si="5"/>
        <v>7.2073008747697989</v>
      </c>
      <c r="R29" s="5">
        <v>0.12956053067993364</v>
      </c>
      <c r="S29" s="22">
        <v>4.5806763000000004</v>
      </c>
      <c r="T29" s="24">
        <v>0.14786103147967442</v>
      </c>
      <c r="U29" s="5">
        <f t="shared" si="6"/>
        <v>1.6032367050000003</v>
      </c>
      <c r="V29" s="5">
        <f t="shared" si="7"/>
        <v>2370.5623290737453</v>
      </c>
      <c r="W29" s="22">
        <v>41.236125399999999</v>
      </c>
      <c r="X29" s="19"/>
      <c r="Y29" s="5">
        <f t="shared" si="0"/>
        <v>51</v>
      </c>
      <c r="Z29" s="5">
        <f t="shared" si="1"/>
        <v>0.18878820184790332</v>
      </c>
      <c r="AA29" s="21">
        <f t="shared" si="8"/>
        <v>13.148352258169016</v>
      </c>
    </row>
    <row r="30" spans="1:27" x14ac:dyDescent="0.2">
      <c r="A30" s="9" t="s">
        <v>9</v>
      </c>
      <c r="B30" s="7" t="s">
        <v>7</v>
      </c>
      <c r="C30" s="5">
        <v>1</v>
      </c>
      <c r="D30" s="11" t="s">
        <v>59</v>
      </c>
      <c r="E30" s="5">
        <v>24</v>
      </c>
      <c r="F30" s="5">
        <v>0.41292401960784297</v>
      </c>
      <c r="G30" s="5">
        <f t="shared" si="2"/>
        <v>9.9101764705882314</v>
      </c>
      <c r="H30" s="5">
        <v>8.9373491822325499E-2</v>
      </c>
      <c r="I30" s="22">
        <v>1.1485472999999999</v>
      </c>
      <c r="J30" s="23">
        <v>5.9353630990665367E-2</v>
      </c>
      <c r="K30" s="5">
        <f t="shared" si="3"/>
        <v>0.27565135200000002</v>
      </c>
      <c r="L30" s="5">
        <f t="shared" si="4"/>
        <v>163.60908628686008</v>
      </c>
      <c r="M30" s="22">
        <v>40.461537</v>
      </c>
      <c r="N30" s="11" t="s">
        <v>69</v>
      </c>
      <c r="O30" s="5">
        <v>46</v>
      </c>
      <c r="P30" s="5">
        <v>0.254892364305428</v>
      </c>
      <c r="Q30" s="5">
        <f t="shared" si="5"/>
        <v>11.725048758049688</v>
      </c>
      <c r="R30" s="5">
        <v>0.1712991926594572</v>
      </c>
      <c r="S30" s="22">
        <v>4.6695149999999996</v>
      </c>
      <c r="T30" s="24">
        <v>0.19178663152720979</v>
      </c>
      <c r="U30" s="5">
        <f t="shared" si="6"/>
        <v>2.1479768999999997</v>
      </c>
      <c r="V30" s="5">
        <f t="shared" si="7"/>
        <v>4119.5325424925832</v>
      </c>
      <c r="W30" s="22">
        <v>40.1893241</v>
      </c>
      <c r="X30" s="19"/>
      <c r="Y30" s="5">
        <f t="shared" si="0"/>
        <v>70</v>
      </c>
      <c r="Z30" s="5">
        <f t="shared" si="1"/>
        <v>0.26067268448178271</v>
      </c>
      <c r="AA30" s="21">
        <f t="shared" si="8"/>
        <v>21.635225228637921</v>
      </c>
    </row>
    <row r="31" spans="1:27" x14ac:dyDescent="0.2">
      <c r="A31" s="9" t="s">
        <v>9</v>
      </c>
      <c r="B31" s="7" t="s">
        <v>7</v>
      </c>
      <c r="C31" s="5">
        <v>2</v>
      </c>
      <c r="D31" s="11" t="s">
        <v>60</v>
      </c>
      <c r="E31" s="5">
        <v>11</v>
      </c>
      <c r="F31" s="5">
        <v>0.48945181405895699</v>
      </c>
      <c r="G31" s="5">
        <f t="shared" si="2"/>
        <v>5.3839699546485269</v>
      </c>
      <c r="H31" s="5">
        <v>4.1209614577713834E-2</v>
      </c>
      <c r="I31" s="22">
        <v>1.2559145</v>
      </c>
      <c r="J31" s="23">
        <v>5.4861610749431002E-2</v>
      </c>
      <c r="K31" s="5">
        <f t="shared" si="3"/>
        <v>0.13815059500000001</v>
      </c>
      <c r="L31" s="5">
        <f t="shared" si="4"/>
        <v>75.791641676922893</v>
      </c>
      <c r="M31" s="22">
        <v>37.379593</v>
      </c>
      <c r="N31" s="11" t="s">
        <v>70</v>
      </c>
      <c r="O31" s="5">
        <v>19</v>
      </c>
      <c r="P31" s="5">
        <v>0.24295367975546672</v>
      </c>
      <c r="Q31" s="5">
        <f t="shared" si="5"/>
        <v>4.6161199153538677</v>
      </c>
      <c r="R31" s="5">
        <v>7.1180243361505718E-2</v>
      </c>
      <c r="S31" s="22">
        <v>7.4084080999999999</v>
      </c>
      <c r="T31" s="24">
        <v>0.15647347685218599</v>
      </c>
      <c r="U31" s="5">
        <f t="shared" si="6"/>
        <v>1.407597539</v>
      </c>
      <c r="V31" s="5">
        <f t="shared" si="7"/>
        <v>2202.5168093591046</v>
      </c>
      <c r="W31" s="22">
        <v>41.688158199999997</v>
      </c>
      <c r="X31" s="19"/>
      <c r="Y31" s="5">
        <f t="shared" si="0"/>
        <v>30</v>
      </c>
      <c r="Z31" s="5">
        <f t="shared" si="1"/>
        <v>0.11238985793921955</v>
      </c>
      <c r="AA31" s="21">
        <f t="shared" si="8"/>
        <v>10.000089870002395</v>
      </c>
    </row>
    <row r="32" spans="1:27" x14ac:dyDescent="0.2">
      <c r="A32" s="9" t="s">
        <v>9</v>
      </c>
      <c r="B32" s="7" t="s">
        <v>7</v>
      </c>
      <c r="C32" s="5">
        <v>3</v>
      </c>
      <c r="D32" s="11" t="s">
        <v>61</v>
      </c>
      <c r="E32" s="5">
        <v>27</v>
      </c>
      <c r="F32" s="5">
        <v>0.43523542914171598</v>
      </c>
      <c r="G32" s="5">
        <f t="shared" si="2"/>
        <v>11.751356586826331</v>
      </c>
      <c r="H32" s="5">
        <v>0.10014539627904216</v>
      </c>
      <c r="I32" s="22">
        <v>1.2555042999999999</v>
      </c>
      <c r="J32" s="23">
        <v>6.28241453234233E-2</v>
      </c>
      <c r="K32" s="5">
        <f t="shared" si="3"/>
        <v>0.33898616100000001</v>
      </c>
      <c r="L32" s="5">
        <f t="shared" si="4"/>
        <v>212.96515841293368</v>
      </c>
      <c r="M32" s="22">
        <v>40.955208599999999</v>
      </c>
      <c r="N32" s="11" t="s">
        <v>71</v>
      </c>
      <c r="O32" s="5">
        <v>63</v>
      </c>
      <c r="P32" s="5">
        <v>0.233754361479414</v>
      </c>
      <c r="Q32" s="5">
        <f t="shared" si="5"/>
        <v>14.726524773203082</v>
      </c>
      <c r="R32" s="5">
        <v>0.23367259131776502</v>
      </c>
      <c r="S32" s="22">
        <v>4.3296317000000002</v>
      </c>
      <c r="T32" s="24">
        <v>9.842083123762399E-2</v>
      </c>
      <c r="U32" s="5">
        <f t="shared" si="6"/>
        <v>2.7276679710000002</v>
      </c>
      <c r="V32" s="5">
        <f t="shared" si="7"/>
        <v>2684.5934904606329</v>
      </c>
      <c r="W32" s="22">
        <v>40.137992199999999</v>
      </c>
      <c r="X32" s="19"/>
      <c r="Y32" s="5">
        <f t="shared" si="0"/>
        <v>90</v>
      </c>
      <c r="Z32" s="5">
        <f t="shared" si="1"/>
        <v>0.3338179875968072</v>
      </c>
      <c r="AA32" s="21">
        <f t="shared" si="8"/>
        <v>26.477881360029414</v>
      </c>
    </row>
    <row r="33" spans="1:27" x14ac:dyDescent="0.2">
      <c r="A33" s="9" t="s">
        <v>9</v>
      </c>
      <c r="B33" s="7" t="s">
        <v>7</v>
      </c>
      <c r="C33" s="5">
        <v>5</v>
      </c>
      <c r="D33" s="11" t="s">
        <v>62</v>
      </c>
      <c r="E33" s="5">
        <v>15</v>
      </c>
      <c r="F33" s="5">
        <v>0.38467287181499998</v>
      </c>
      <c r="G33" s="5">
        <f t="shared" si="2"/>
        <v>5.7700930772249999</v>
      </c>
      <c r="H33" s="5">
        <v>5.6421521425132397E-2</v>
      </c>
      <c r="I33" s="22">
        <v>1.2381186</v>
      </c>
      <c r="J33" s="23">
        <v>5.7939714371994001E-2</v>
      </c>
      <c r="K33" s="5">
        <f t="shared" si="3"/>
        <v>0.18571778999999999</v>
      </c>
      <c r="L33" s="5">
        <f t="shared" si="4"/>
        <v>107.60435706397963</v>
      </c>
      <c r="M33" s="22">
        <v>40.951233600000002</v>
      </c>
      <c r="N33" s="11" t="s">
        <v>72</v>
      </c>
      <c r="O33" s="5">
        <v>56</v>
      </c>
      <c r="P33" s="5">
        <v>0.20672782258059999</v>
      </c>
      <c r="Q33" s="5">
        <f t="shared" si="5"/>
        <v>11.5767580645136</v>
      </c>
      <c r="R33" s="5">
        <v>0.21064034665382761</v>
      </c>
      <c r="S33" s="22">
        <v>4.7045674000000002</v>
      </c>
      <c r="T33" s="24">
        <v>0.11857588227336818</v>
      </c>
      <c r="U33" s="5">
        <f t="shared" si="6"/>
        <v>2.6345577439999999</v>
      </c>
      <c r="V33" s="5">
        <f t="shared" si="7"/>
        <v>3123.9500889493447</v>
      </c>
      <c r="W33" s="22">
        <v>41.521854900000001</v>
      </c>
      <c r="X33" s="19"/>
      <c r="Y33" s="5">
        <f t="shared" si="0"/>
        <v>71</v>
      </c>
      <c r="Z33" s="5">
        <f t="shared" si="1"/>
        <v>0.26706186807895999</v>
      </c>
      <c r="AA33" s="21">
        <f t="shared" si="8"/>
        <v>17.3468511417386</v>
      </c>
    </row>
    <row r="34" spans="1:27" x14ac:dyDescent="0.2">
      <c r="A34" s="9" t="s">
        <v>9</v>
      </c>
      <c r="B34" s="7" t="s">
        <v>7</v>
      </c>
      <c r="C34" s="5">
        <v>6</v>
      </c>
      <c r="D34" s="11" t="s">
        <v>63</v>
      </c>
      <c r="E34" s="5">
        <v>11</v>
      </c>
      <c r="F34" s="5">
        <v>0.48968962075848299</v>
      </c>
      <c r="G34" s="5">
        <f t="shared" si="2"/>
        <v>5.3865858283433132</v>
      </c>
      <c r="H34" s="5">
        <v>4.1127030179762505E-2</v>
      </c>
      <c r="I34" s="22">
        <v>1.4139930000000001</v>
      </c>
      <c r="J34" s="23">
        <v>6.3041452646150006E-2</v>
      </c>
      <c r="K34" s="5">
        <f t="shared" si="3"/>
        <v>0.15553923</v>
      </c>
      <c r="L34" s="5">
        <f t="shared" si="4"/>
        <v>98.054190026636363</v>
      </c>
      <c r="M34" s="22">
        <v>39.176300300000001</v>
      </c>
      <c r="N34" s="11" t="s">
        <v>73</v>
      </c>
      <c r="O34" s="5">
        <v>49</v>
      </c>
      <c r="P34" s="5">
        <v>0.21409719438878</v>
      </c>
      <c r="Q34" s="5">
        <f t="shared" si="5"/>
        <v>10.49076252505022</v>
      </c>
      <c r="R34" s="5">
        <v>0.1832022253462148</v>
      </c>
      <c r="S34" s="22">
        <v>4.8419618</v>
      </c>
      <c r="T34" s="24">
        <v>0.27869713836492949</v>
      </c>
      <c r="U34" s="5">
        <f t="shared" si="6"/>
        <v>2.3725612819999999</v>
      </c>
      <c r="V34" s="5">
        <f t="shared" si="7"/>
        <v>6612.2603988882847</v>
      </c>
      <c r="W34" s="22">
        <v>40.3297776</v>
      </c>
      <c r="X34" s="19"/>
      <c r="Y34" s="5">
        <f t="shared" ref="Y34:Y58" si="9">E34+O34</f>
        <v>60</v>
      </c>
      <c r="Z34" s="5">
        <f t="shared" ref="Z34:Z58" si="10">H34+R34</f>
        <v>0.22432925552597732</v>
      </c>
      <c r="AA34" s="21">
        <f t="shared" si="8"/>
        <v>15.877348353393533</v>
      </c>
    </row>
    <row r="35" spans="1:27" x14ac:dyDescent="0.2">
      <c r="A35" s="9" t="s">
        <v>9</v>
      </c>
      <c r="B35" s="8" t="s">
        <v>8</v>
      </c>
      <c r="C35" s="5">
        <v>1</v>
      </c>
      <c r="D35" s="11" t="s">
        <v>49</v>
      </c>
      <c r="E35" s="5">
        <v>11</v>
      </c>
      <c r="F35" s="5">
        <v>0.194689603960396</v>
      </c>
      <c r="G35" s="5">
        <f t="shared" si="2"/>
        <v>2.1415856435643561</v>
      </c>
      <c r="H35" s="5">
        <v>1.2191517659228608E-2</v>
      </c>
      <c r="I35" s="22">
        <v>0.81642049999999999</v>
      </c>
      <c r="J35" s="23">
        <v>1.2487302274681981E-2</v>
      </c>
      <c r="K35" s="5">
        <f t="shared" si="3"/>
        <v>8.9806255000000001E-2</v>
      </c>
      <c r="L35" s="5">
        <f t="shared" si="4"/>
        <v>11.214378523421701</v>
      </c>
      <c r="M35" s="22">
        <v>34.1646049</v>
      </c>
      <c r="N35" s="11" t="s">
        <v>74</v>
      </c>
      <c r="O35" s="5">
        <v>23</v>
      </c>
      <c r="P35" s="5">
        <v>0.15040818363273001</v>
      </c>
      <c r="Q35" s="5">
        <f t="shared" si="5"/>
        <v>3.4593882235527902</v>
      </c>
      <c r="R35" s="5">
        <v>3.2957964667679564E-2</v>
      </c>
      <c r="S35" s="22">
        <v>2.391645</v>
      </c>
      <c r="T35" s="24">
        <v>2.8910444054842506E-2</v>
      </c>
      <c r="U35" s="5">
        <f t="shared" si="6"/>
        <v>0.55007835000000005</v>
      </c>
      <c r="V35" s="5">
        <f t="shared" si="7"/>
        <v>159.03009363455075</v>
      </c>
      <c r="W35" s="22">
        <v>40.876282199999999</v>
      </c>
      <c r="X35" s="19"/>
      <c r="Y35" s="5">
        <f t="shared" si="9"/>
        <v>34</v>
      </c>
      <c r="Z35" s="5">
        <f t="shared" si="10"/>
        <v>4.5149482326908172E-2</v>
      </c>
      <c r="AA35" s="21">
        <f t="shared" si="8"/>
        <v>5.6009738671171458</v>
      </c>
    </row>
    <row r="36" spans="1:27" x14ac:dyDescent="0.2">
      <c r="A36" s="9" t="s">
        <v>9</v>
      </c>
      <c r="B36" s="8" t="s">
        <v>8</v>
      </c>
      <c r="C36" s="5">
        <v>2</v>
      </c>
      <c r="D36" s="11" t="s">
        <v>50</v>
      </c>
      <c r="E36" s="5">
        <v>12</v>
      </c>
      <c r="F36" s="5">
        <v>0.21867043222003901</v>
      </c>
      <c r="G36" s="5">
        <f t="shared" si="2"/>
        <v>2.6240451866404682</v>
      </c>
      <c r="H36" s="5">
        <v>1.1435944051842947E-2</v>
      </c>
      <c r="I36" s="22">
        <v>0.81344530000000004</v>
      </c>
      <c r="J36" s="23">
        <v>2.75617902484078E-2</v>
      </c>
      <c r="K36" s="5">
        <f t="shared" si="3"/>
        <v>9.7613435999999998E-2</v>
      </c>
      <c r="L36" s="5">
        <f t="shared" si="4"/>
        <v>26.90401048458379</v>
      </c>
      <c r="M36" s="22">
        <v>35.6255278</v>
      </c>
      <c r="N36" s="11" t="s">
        <v>75</v>
      </c>
      <c r="O36" s="5">
        <v>18</v>
      </c>
      <c r="P36" s="5">
        <v>0.20236013238289199</v>
      </c>
      <c r="Q36" s="5">
        <f t="shared" si="5"/>
        <v>3.6424823828920561</v>
      </c>
      <c r="R36" s="5">
        <v>1.9758137025714804E-2</v>
      </c>
      <c r="S36" s="22">
        <v>5.8588452999999996</v>
      </c>
      <c r="T36" s="24">
        <v>2.5118278346760999E-2</v>
      </c>
      <c r="U36" s="5">
        <f t="shared" si="6"/>
        <v>1.0545921539999998</v>
      </c>
      <c r="V36" s="5">
        <f t="shared" si="7"/>
        <v>264.8953926648224</v>
      </c>
      <c r="W36" s="22">
        <v>37.0443487</v>
      </c>
      <c r="X36" s="19"/>
      <c r="Y36" s="5">
        <f t="shared" si="9"/>
        <v>30</v>
      </c>
      <c r="Z36" s="5">
        <f t="shared" si="10"/>
        <v>3.119408107755775E-2</v>
      </c>
      <c r="AA36" s="21">
        <f t="shared" si="8"/>
        <v>6.2665275695325242</v>
      </c>
    </row>
    <row r="37" spans="1:27" x14ac:dyDescent="0.2">
      <c r="A37" s="9" t="s">
        <v>9</v>
      </c>
      <c r="B37" s="8" t="s">
        <v>8</v>
      </c>
      <c r="C37" s="5">
        <v>3</v>
      </c>
      <c r="D37" s="11" t="s">
        <v>51</v>
      </c>
      <c r="E37" s="5">
        <v>16</v>
      </c>
      <c r="F37" s="5">
        <v>0.22294824218750001</v>
      </c>
      <c r="G37" s="5">
        <f t="shared" si="2"/>
        <v>3.5671718750000001</v>
      </c>
      <c r="H37" s="5">
        <v>1.3118003731343282E-2</v>
      </c>
      <c r="I37" s="22">
        <v>0.85970999999999997</v>
      </c>
      <c r="J37" s="23">
        <v>1.5061452245351801E-2</v>
      </c>
      <c r="K37" s="5">
        <f t="shared" si="3"/>
        <v>0.1375536</v>
      </c>
      <c r="L37" s="5">
        <f t="shared" si="4"/>
        <v>20.717569775762236</v>
      </c>
      <c r="M37" s="22">
        <v>33.739918199999998</v>
      </c>
      <c r="N37" s="11" t="s">
        <v>76</v>
      </c>
      <c r="O37" s="5">
        <v>19</v>
      </c>
      <c r="P37" s="5">
        <v>0.20739840000000001</v>
      </c>
      <c r="Q37" s="5">
        <f t="shared" si="5"/>
        <v>3.9405696000000003</v>
      </c>
      <c r="R37" s="5">
        <v>1.942227233613246E-2</v>
      </c>
      <c r="S37" s="22">
        <v>3.6850236999999999</v>
      </c>
      <c r="T37" s="24">
        <v>2.80075721440372E-2</v>
      </c>
      <c r="U37" s="5">
        <f t="shared" si="6"/>
        <v>0.70015450299999993</v>
      </c>
      <c r="V37" s="5">
        <f t="shared" si="7"/>
        <v>196.09627754745009</v>
      </c>
      <c r="W37" s="22">
        <v>37.713606200000001</v>
      </c>
      <c r="X37" s="19"/>
      <c r="Y37" s="5">
        <f t="shared" si="9"/>
        <v>35</v>
      </c>
      <c r="Z37" s="5">
        <f t="shared" si="10"/>
        <v>3.254027606747574E-2</v>
      </c>
      <c r="AA37" s="21">
        <f t="shared" si="8"/>
        <v>7.5077414750000004</v>
      </c>
    </row>
    <row r="38" spans="1:27" x14ac:dyDescent="0.2">
      <c r="A38" s="9" t="s">
        <v>9</v>
      </c>
      <c r="B38" s="8" t="s">
        <v>8</v>
      </c>
      <c r="C38" s="5">
        <v>4</v>
      </c>
      <c r="D38" s="11" t="s">
        <v>52</v>
      </c>
      <c r="E38" s="5">
        <v>31</v>
      </c>
      <c r="F38" s="5">
        <v>0.16980938123752501</v>
      </c>
      <c r="G38" s="5">
        <f t="shared" si="2"/>
        <v>5.2640908183632753</v>
      </c>
      <c r="H38" s="5">
        <v>1.00477254446331E-2</v>
      </c>
      <c r="I38" s="22">
        <v>0.82786729999999997</v>
      </c>
      <c r="J38" s="23">
        <v>1.1220432954239253E-2</v>
      </c>
      <c r="K38" s="5">
        <f t="shared" si="3"/>
        <v>0.25663886299999999</v>
      </c>
      <c r="L38" s="5">
        <f t="shared" si="4"/>
        <v>28.795991557436924</v>
      </c>
      <c r="M38" s="22">
        <v>37.129147099999997</v>
      </c>
      <c r="N38" s="11" t="s">
        <v>77</v>
      </c>
      <c r="O38" s="5">
        <v>17</v>
      </c>
      <c r="P38" s="5">
        <v>0.20448340040241</v>
      </c>
      <c r="Q38" s="5">
        <f t="shared" si="5"/>
        <v>3.4762178068409701</v>
      </c>
      <c r="R38" s="5">
        <v>2.4350024073182475E-2</v>
      </c>
      <c r="S38" s="22">
        <v>4.6414111</v>
      </c>
      <c r="T38" s="24">
        <v>3.2590000301158002E-2</v>
      </c>
      <c r="U38" s="5">
        <f t="shared" si="6"/>
        <v>0.78903988699999994</v>
      </c>
      <c r="V38" s="5">
        <f t="shared" si="7"/>
        <v>257.14810154955671</v>
      </c>
      <c r="W38" s="22">
        <v>37.342693799999999</v>
      </c>
      <c r="X38" s="19"/>
      <c r="Y38" s="5">
        <f t="shared" si="9"/>
        <v>48</v>
      </c>
      <c r="Z38" s="5">
        <f t="shared" si="10"/>
        <v>3.4397749517815573E-2</v>
      </c>
      <c r="AA38" s="21">
        <f t="shared" si="8"/>
        <v>8.7403086252042463</v>
      </c>
    </row>
    <row r="39" spans="1:27" x14ac:dyDescent="0.2">
      <c r="A39" s="9" t="s">
        <v>9</v>
      </c>
      <c r="B39" s="8" t="s">
        <v>8</v>
      </c>
      <c r="C39" s="5">
        <v>5</v>
      </c>
      <c r="D39" s="11" t="s">
        <v>53</v>
      </c>
      <c r="E39" s="5">
        <v>15</v>
      </c>
      <c r="F39" s="5">
        <v>0.23479563492063499</v>
      </c>
      <c r="G39" s="5">
        <f t="shared" si="2"/>
        <v>3.521934523809525</v>
      </c>
      <c r="H39" s="5">
        <v>1.13785536602701E-2</v>
      </c>
      <c r="I39" s="22">
        <v>0.95475030000000005</v>
      </c>
      <c r="J39" s="23">
        <v>2.81498720162183E-2</v>
      </c>
      <c r="K39" s="5">
        <f t="shared" si="3"/>
        <v>0.143212545</v>
      </c>
      <c r="L39" s="5">
        <f t="shared" si="4"/>
        <v>40.314148128669039</v>
      </c>
      <c r="M39" s="22">
        <v>38.340530800000003</v>
      </c>
      <c r="N39" s="11" t="s">
        <v>78</v>
      </c>
      <c r="O39" s="5">
        <v>14</v>
      </c>
      <c r="P39" s="5">
        <v>0.24620726915520999</v>
      </c>
      <c r="Q39" s="5">
        <f t="shared" si="5"/>
        <v>3.4469017681729399</v>
      </c>
      <c r="R39" s="5">
        <v>1.9712559447252715E-2</v>
      </c>
      <c r="S39" s="22">
        <v>5.1088817999999998</v>
      </c>
      <c r="T39" s="24">
        <v>3.3595262068841003E-2</v>
      </c>
      <c r="U39" s="5">
        <f t="shared" si="6"/>
        <v>0.71524345199999995</v>
      </c>
      <c r="V39" s="5">
        <f t="shared" si="7"/>
        <v>240.287912129625</v>
      </c>
      <c r="W39" s="22">
        <v>39.634146899999998</v>
      </c>
      <c r="X39" s="19"/>
      <c r="Y39" s="5">
        <f t="shared" si="9"/>
        <v>29</v>
      </c>
      <c r="Z39" s="5">
        <f t="shared" si="10"/>
        <v>3.1091113107522814E-2</v>
      </c>
      <c r="AA39" s="21">
        <f t="shared" si="8"/>
        <v>6.9688362919824645</v>
      </c>
    </row>
    <row r="40" spans="1:27" x14ac:dyDescent="0.2">
      <c r="A40" s="10" t="s">
        <v>10</v>
      </c>
      <c r="B40" s="4" t="s">
        <v>5</v>
      </c>
      <c r="C40" s="5">
        <v>1</v>
      </c>
      <c r="D40" s="11" t="s">
        <v>79</v>
      </c>
      <c r="E40" s="5">
        <v>439</v>
      </c>
      <c r="F40" s="5">
        <v>0.21477944111776401</v>
      </c>
      <c r="G40" s="5">
        <f t="shared" si="2"/>
        <v>94.288174650698394</v>
      </c>
      <c r="H40" s="5">
        <v>9.7300219225802584E-4</v>
      </c>
      <c r="I40" s="22">
        <v>1.4448794</v>
      </c>
      <c r="J40" s="23">
        <v>3.8526092920139446E-3</v>
      </c>
      <c r="K40" s="5">
        <f t="shared" si="3"/>
        <v>6.3430205659999999</v>
      </c>
      <c r="L40" s="5">
        <f t="shared" si="4"/>
        <v>244.37179972007152</v>
      </c>
      <c r="M40" s="22">
        <v>38.149974</v>
      </c>
      <c r="N40" s="12" t="s">
        <v>98</v>
      </c>
      <c r="O40" s="5">
        <v>150</v>
      </c>
      <c r="P40" s="5">
        <v>0.32907413256572404</v>
      </c>
      <c r="Q40" s="5">
        <f t="shared" ref="Q40:Q58" si="11">O40*P40</f>
        <v>49.36111988485861</v>
      </c>
      <c r="R40" s="5">
        <v>1.7838373524730472E-3</v>
      </c>
      <c r="S40" s="22">
        <v>3.5267963999999998</v>
      </c>
      <c r="T40" s="24">
        <v>4.0020831135902856E-3</v>
      </c>
      <c r="U40" s="5">
        <f t="shared" si="6"/>
        <v>5.2901945999999995</v>
      </c>
      <c r="V40" s="5">
        <f t="shared" si="7"/>
        <v>211.71798476266517</v>
      </c>
      <c r="W40" s="22">
        <v>29.052460700000001</v>
      </c>
      <c r="X40" s="19"/>
      <c r="Y40" s="5">
        <f t="shared" si="9"/>
        <v>589</v>
      </c>
      <c r="Z40" s="5">
        <f t="shared" si="10"/>
        <v>2.7568395447310733E-3</v>
      </c>
      <c r="AA40" s="21">
        <f t="shared" si="8"/>
        <v>143.649294535557</v>
      </c>
    </row>
    <row r="41" spans="1:27" x14ac:dyDescent="0.2">
      <c r="A41" s="10" t="s">
        <v>10</v>
      </c>
      <c r="B41" s="4" t="s">
        <v>5</v>
      </c>
      <c r="C41" s="5">
        <v>2</v>
      </c>
      <c r="D41" s="11" t="s">
        <v>80</v>
      </c>
      <c r="E41" s="5">
        <v>524</v>
      </c>
      <c r="F41" s="5">
        <v>0.27635943775100402</v>
      </c>
      <c r="G41" s="5">
        <f t="shared" si="2"/>
        <v>144.81234538152611</v>
      </c>
      <c r="H41" s="5">
        <v>6.0597014925373139E-4</v>
      </c>
      <c r="I41" s="22">
        <v>1.3811956000000001</v>
      </c>
      <c r="J41" s="23">
        <v>4.0262719413876498E-3</v>
      </c>
      <c r="K41" s="5">
        <f t="shared" si="3"/>
        <v>7.237464944000001</v>
      </c>
      <c r="L41" s="5">
        <f t="shared" si="4"/>
        <v>291.40002030803942</v>
      </c>
      <c r="M41" s="22">
        <v>36.614305899999998</v>
      </c>
      <c r="N41" s="12" t="s">
        <v>99</v>
      </c>
      <c r="O41" s="5">
        <v>266</v>
      </c>
      <c r="P41" s="5">
        <v>0.253461840583109</v>
      </c>
      <c r="Q41" s="5">
        <f t="shared" si="11"/>
        <v>67.420849595107001</v>
      </c>
      <c r="R41" s="5">
        <v>3.722388059701493E-3</v>
      </c>
      <c r="S41" s="22">
        <v>4.1059896</v>
      </c>
      <c r="T41" s="24">
        <v>4.0590372007960488E-3</v>
      </c>
      <c r="U41" s="5">
        <f t="shared" si="6"/>
        <v>10.921932335999999</v>
      </c>
      <c r="V41" s="5">
        <f t="shared" si="7"/>
        <v>443.32529656401289</v>
      </c>
      <c r="W41" s="22">
        <v>29.197813</v>
      </c>
      <c r="X41" s="19"/>
      <c r="Y41" s="5">
        <f t="shared" si="9"/>
        <v>790</v>
      </c>
      <c r="Z41" s="5">
        <f t="shared" si="10"/>
        <v>4.3283582089552247E-3</v>
      </c>
      <c r="AA41" s="21">
        <f t="shared" si="8"/>
        <v>212.23319497663311</v>
      </c>
    </row>
    <row r="42" spans="1:27" x14ac:dyDescent="0.2">
      <c r="A42" s="10" t="s">
        <v>10</v>
      </c>
      <c r="B42" s="4" t="s">
        <v>5</v>
      </c>
      <c r="C42" s="5">
        <v>4</v>
      </c>
      <c r="D42" s="11" t="s">
        <v>81</v>
      </c>
      <c r="E42" s="5">
        <v>505</v>
      </c>
      <c r="F42" s="5">
        <v>0.20571713695953101</v>
      </c>
      <c r="G42" s="5">
        <f t="shared" si="2"/>
        <v>103.88715416456316</v>
      </c>
      <c r="H42" s="5">
        <v>2.0572811617587737E-3</v>
      </c>
      <c r="I42" s="22">
        <v>1.2032377000000001</v>
      </c>
      <c r="J42" s="23">
        <v>4.0908704470997408E-3</v>
      </c>
      <c r="K42" s="5">
        <f t="shared" si="3"/>
        <v>6.0763503850000005</v>
      </c>
      <c r="L42" s="5">
        <f t="shared" si="4"/>
        <v>248.57562216219634</v>
      </c>
      <c r="M42" s="22">
        <v>35.829007300000001</v>
      </c>
      <c r="N42" s="12" t="s">
        <v>100</v>
      </c>
      <c r="O42" s="5">
        <v>176</v>
      </c>
      <c r="P42" s="5">
        <v>0.39144938207438212</v>
      </c>
      <c r="Q42" s="5">
        <f t="shared" si="11"/>
        <v>68.895091245091251</v>
      </c>
      <c r="R42" s="5">
        <v>5.5667607906413879E-3</v>
      </c>
      <c r="S42" s="22">
        <v>3.8498488000000002</v>
      </c>
      <c r="T42" s="24">
        <v>4.0160535428420451E-3</v>
      </c>
      <c r="U42" s="5">
        <f t="shared" si="6"/>
        <v>6.7757338879999995</v>
      </c>
      <c r="V42" s="5">
        <f t="shared" si="7"/>
        <v>272.11710086257301</v>
      </c>
      <c r="W42" s="22">
        <v>28.272214699999999</v>
      </c>
      <c r="X42" s="19"/>
      <c r="Y42" s="5">
        <f t="shared" si="9"/>
        <v>681</v>
      </c>
      <c r="Z42" s="5">
        <f t="shared" si="10"/>
        <v>7.624041952400162E-3</v>
      </c>
      <c r="AA42" s="21">
        <f t="shared" si="8"/>
        <v>172.78224540965442</v>
      </c>
    </row>
    <row r="43" spans="1:27" x14ac:dyDescent="0.2">
      <c r="A43" s="10" t="s">
        <v>10</v>
      </c>
      <c r="B43" s="4" t="s">
        <v>5</v>
      </c>
      <c r="C43" s="5">
        <v>5</v>
      </c>
      <c r="D43" s="11" t="s">
        <v>82</v>
      </c>
      <c r="E43" s="5">
        <v>478</v>
      </c>
      <c r="F43" s="5">
        <v>0.23720138094540899</v>
      </c>
      <c r="G43" s="5">
        <f t="shared" si="2"/>
        <v>113.38226009190549</v>
      </c>
      <c r="H43" s="5">
        <v>5.5525941719971564E-4</v>
      </c>
      <c r="I43" s="22">
        <v>1.4255186</v>
      </c>
      <c r="J43" s="23">
        <v>4.0301436783138841E-3</v>
      </c>
      <c r="K43" s="5">
        <f t="shared" si="3"/>
        <v>6.8139789080000002</v>
      </c>
      <c r="L43" s="5">
        <f t="shared" si="4"/>
        <v>274.61314020240349</v>
      </c>
      <c r="M43" s="22">
        <v>38.937969099999997</v>
      </c>
      <c r="N43" s="12" t="s">
        <v>101</v>
      </c>
      <c r="O43" s="5">
        <v>179</v>
      </c>
      <c r="P43" s="5">
        <v>0.33337130475195698</v>
      </c>
      <c r="Q43" s="5">
        <f t="shared" si="11"/>
        <v>59.673463550600296</v>
      </c>
      <c r="R43" s="5">
        <v>1.7213041933191186E-3</v>
      </c>
      <c r="S43" s="22">
        <v>3.2910363</v>
      </c>
      <c r="T43" s="24">
        <v>4.1451020049039404E-3</v>
      </c>
      <c r="U43" s="5">
        <f t="shared" si="6"/>
        <v>5.8909549769999998</v>
      </c>
      <c r="V43" s="5">
        <f t="shared" si="7"/>
        <v>244.18609285961548</v>
      </c>
      <c r="W43" s="22">
        <v>29.936898200000002</v>
      </c>
      <c r="X43" s="19"/>
      <c r="Y43" s="5">
        <f t="shared" si="9"/>
        <v>657</v>
      </c>
      <c r="Z43" s="5">
        <f t="shared" si="10"/>
        <v>2.2765636105188344E-3</v>
      </c>
      <c r="AA43" s="21">
        <f t="shared" si="8"/>
        <v>173.0557236425058</v>
      </c>
    </row>
    <row r="44" spans="1:27" x14ac:dyDescent="0.2">
      <c r="A44" s="10" t="s">
        <v>10</v>
      </c>
      <c r="B44" s="6" t="s">
        <v>6</v>
      </c>
      <c r="C44" s="5">
        <v>1</v>
      </c>
      <c r="D44" s="11" t="s">
        <v>83</v>
      </c>
      <c r="E44" s="5">
        <v>479</v>
      </c>
      <c r="F44" s="5">
        <v>0.34587603421882102</v>
      </c>
      <c r="G44" s="5">
        <f t="shared" si="2"/>
        <v>165.67462039081528</v>
      </c>
      <c r="H44" s="5">
        <v>0.8363211171863455</v>
      </c>
      <c r="I44" s="22">
        <v>1.5778422999999999</v>
      </c>
      <c r="J44" s="23">
        <v>5.1814981958953059E-2</v>
      </c>
      <c r="K44" s="5">
        <f t="shared" si="3"/>
        <v>7.5578646169999999</v>
      </c>
      <c r="L44" s="5">
        <f t="shared" si="4"/>
        <v>3916.1061877806469</v>
      </c>
      <c r="M44" s="22">
        <v>40.433964899999999</v>
      </c>
      <c r="N44" s="12" t="s">
        <v>102</v>
      </c>
      <c r="O44" s="5">
        <v>198</v>
      </c>
      <c r="P44" s="5">
        <v>0.56759472277195899</v>
      </c>
      <c r="Q44" s="5">
        <f t="shared" si="11"/>
        <v>112.38375510884788</v>
      </c>
      <c r="R44" s="5">
        <v>0.34570267474508648</v>
      </c>
      <c r="S44" s="22">
        <v>3.5090267000000002</v>
      </c>
      <c r="T44" s="24">
        <v>0.10188178943838112</v>
      </c>
      <c r="U44" s="5">
        <f t="shared" si="6"/>
        <v>6.947872866</v>
      </c>
      <c r="V44" s="5">
        <f t="shared" si="7"/>
        <v>7078.6172037845363</v>
      </c>
      <c r="W44" s="22">
        <v>30.897967900000001</v>
      </c>
      <c r="X44" s="19"/>
      <c r="Y44" s="5">
        <f t="shared" si="9"/>
        <v>677</v>
      </c>
      <c r="Z44" s="5">
        <f t="shared" si="10"/>
        <v>1.182023791931432</v>
      </c>
      <c r="AA44" s="21">
        <f t="shared" si="8"/>
        <v>278.05837549966316</v>
      </c>
    </row>
    <row r="45" spans="1:27" x14ac:dyDescent="0.2">
      <c r="A45" s="10" t="s">
        <v>10</v>
      </c>
      <c r="B45" s="6" t="s">
        <v>6</v>
      </c>
      <c r="C45" s="5">
        <v>2</v>
      </c>
      <c r="D45" s="11" t="s">
        <v>84</v>
      </c>
      <c r="E45" s="5">
        <v>507</v>
      </c>
      <c r="F45" s="5">
        <v>0.30476791774805345</v>
      </c>
      <c r="G45" s="5">
        <f t="shared" si="2"/>
        <v>154.51733429826311</v>
      </c>
      <c r="H45" s="5">
        <v>1.1247972912099462</v>
      </c>
      <c r="I45" s="22">
        <v>1.7515674999999999</v>
      </c>
      <c r="J45" s="23">
        <v>5.196393508087864E-2</v>
      </c>
      <c r="K45" s="5">
        <f t="shared" si="3"/>
        <v>8.8804472249999993</v>
      </c>
      <c r="L45" s="5">
        <f t="shared" si="4"/>
        <v>4614.6298308906889</v>
      </c>
      <c r="M45" s="22">
        <v>39.013567700000003</v>
      </c>
      <c r="N45" s="12" t="s">
        <v>103</v>
      </c>
      <c r="O45" s="5">
        <v>323</v>
      </c>
      <c r="P45" s="5">
        <v>0.44898171687073157</v>
      </c>
      <c r="Q45" s="5">
        <f t="shared" si="11"/>
        <v>145.0210945492463</v>
      </c>
      <c r="R45" s="5">
        <v>0.71658683443947269</v>
      </c>
      <c r="S45" s="22">
        <v>2.7516785000000001</v>
      </c>
      <c r="T45" s="24">
        <v>0.10934634243684067</v>
      </c>
      <c r="U45" s="5">
        <f t="shared" si="6"/>
        <v>8.8879215550000001</v>
      </c>
      <c r="V45" s="5">
        <f t="shared" si="7"/>
        <v>9718.6171390480758</v>
      </c>
      <c r="W45" s="22">
        <v>30.7074988</v>
      </c>
      <c r="X45" s="19"/>
      <c r="Y45" s="5">
        <f t="shared" si="9"/>
        <v>830</v>
      </c>
      <c r="Z45" s="5">
        <f t="shared" si="10"/>
        <v>1.841384125649419</v>
      </c>
      <c r="AA45" s="21">
        <f t="shared" si="8"/>
        <v>299.53842884750941</v>
      </c>
    </row>
    <row r="46" spans="1:27" x14ac:dyDescent="0.2">
      <c r="A46" s="10" t="s">
        <v>10</v>
      </c>
      <c r="B46" s="6" t="s">
        <v>6</v>
      </c>
      <c r="C46" s="5">
        <v>3</v>
      </c>
      <c r="D46" s="11" t="s">
        <v>85</v>
      </c>
      <c r="E46" s="5">
        <v>492</v>
      </c>
      <c r="F46" s="5">
        <v>0.33475540216086441</v>
      </c>
      <c r="G46" s="5">
        <f t="shared" si="2"/>
        <v>164.69965786314529</v>
      </c>
      <c r="H46" s="5">
        <v>1.1821518649298242</v>
      </c>
      <c r="I46" s="22">
        <v>1.7298156</v>
      </c>
      <c r="J46" s="23">
        <v>4.7762986414684898E-2</v>
      </c>
      <c r="K46" s="5">
        <f t="shared" si="3"/>
        <v>8.5106927520000006</v>
      </c>
      <c r="L46" s="5">
        <f t="shared" si="4"/>
        <v>4064.9610229333321</v>
      </c>
      <c r="M46" s="22">
        <v>39.6724842</v>
      </c>
      <c r="N46" s="12" t="s">
        <v>104</v>
      </c>
      <c r="O46" s="5">
        <v>385</v>
      </c>
      <c r="P46" s="5">
        <v>0.43450184338192299</v>
      </c>
      <c r="Q46" s="5">
        <f t="shared" si="11"/>
        <v>167.28320970204035</v>
      </c>
      <c r="R46" s="5">
        <v>0.92505786178451688</v>
      </c>
      <c r="S46" s="22">
        <v>3.2540293</v>
      </c>
      <c r="T46" s="24">
        <v>6.7898604901873327E-2</v>
      </c>
      <c r="U46" s="5">
        <f t="shared" si="6"/>
        <v>12.528012805000001</v>
      </c>
      <c r="V46" s="5">
        <f t="shared" si="7"/>
        <v>8506.3459165230488</v>
      </c>
      <c r="W46" s="22">
        <v>31.361966599999999</v>
      </c>
      <c r="X46" s="19"/>
      <c r="Y46" s="5">
        <f t="shared" si="9"/>
        <v>877</v>
      </c>
      <c r="Z46" s="5">
        <f t="shared" si="10"/>
        <v>2.1072097267143413</v>
      </c>
      <c r="AA46" s="21">
        <f t="shared" si="8"/>
        <v>331.98286756518564</v>
      </c>
    </row>
    <row r="47" spans="1:27" x14ac:dyDescent="0.2">
      <c r="A47" s="10" t="s">
        <v>10</v>
      </c>
      <c r="B47" s="6" t="s">
        <v>6</v>
      </c>
      <c r="C47" s="5">
        <v>5</v>
      </c>
      <c r="D47" s="11" t="s">
        <v>86</v>
      </c>
      <c r="E47" s="5">
        <v>499</v>
      </c>
      <c r="F47" s="5">
        <v>0.39307427029188335</v>
      </c>
      <c r="G47" s="5">
        <f t="shared" si="2"/>
        <v>196.14406087564979</v>
      </c>
      <c r="H47" s="5">
        <v>1.0736335513004722</v>
      </c>
      <c r="I47" s="22">
        <v>1.9127308999999999</v>
      </c>
      <c r="J47" s="23">
        <v>4.9589611827706798E-2</v>
      </c>
      <c r="K47" s="5">
        <f t="shared" si="3"/>
        <v>9.5445271910000002</v>
      </c>
      <c r="L47" s="5">
        <f t="shared" si="4"/>
        <v>4733.0939848068265</v>
      </c>
      <c r="M47" s="22">
        <v>36.3476955</v>
      </c>
      <c r="N47" s="12" t="s">
        <v>105</v>
      </c>
      <c r="O47" s="5">
        <v>151</v>
      </c>
      <c r="P47" s="5">
        <v>0.48260334878400801</v>
      </c>
      <c r="Q47" s="5">
        <f t="shared" si="11"/>
        <v>72.873105666385214</v>
      </c>
      <c r="R47" s="5">
        <v>0.32488710670615495</v>
      </c>
      <c r="S47" s="22">
        <v>4.0550784999999996</v>
      </c>
      <c r="T47" s="24">
        <v>7.8036880376607429E-2</v>
      </c>
      <c r="U47" s="5">
        <f t="shared" si="6"/>
        <v>6.1231685349999996</v>
      </c>
      <c r="V47" s="5">
        <f t="shared" si="7"/>
        <v>4778.3297049160155</v>
      </c>
      <c r="W47" s="22">
        <v>31.055623799999999</v>
      </c>
      <c r="X47" s="19"/>
      <c r="Y47" s="5">
        <f t="shared" si="9"/>
        <v>650</v>
      </c>
      <c r="Z47" s="5">
        <f t="shared" si="10"/>
        <v>1.3985206580066272</v>
      </c>
      <c r="AA47" s="21">
        <f t="shared" si="8"/>
        <v>269.017166542035</v>
      </c>
    </row>
    <row r="48" spans="1:27" x14ac:dyDescent="0.2">
      <c r="A48" s="10" t="s">
        <v>10</v>
      </c>
      <c r="B48" s="6" t="s">
        <v>6</v>
      </c>
      <c r="C48" s="5">
        <v>6</v>
      </c>
      <c r="D48" s="11" t="s">
        <v>87</v>
      </c>
      <c r="E48" s="5">
        <v>532</v>
      </c>
      <c r="F48" s="5">
        <v>0.31032211346384397</v>
      </c>
      <c r="G48" s="5">
        <f t="shared" si="2"/>
        <v>165.09136436276501</v>
      </c>
      <c r="H48" s="5">
        <v>3.04116571293729</v>
      </c>
      <c r="I48" s="22">
        <v>1.7370859999999999</v>
      </c>
      <c r="J48" s="23">
        <v>4.9052342817513202E-2</v>
      </c>
      <c r="K48" s="5">
        <f t="shared" si="3"/>
        <v>9.2412975199999998</v>
      </c>
      <c r="L48" s="5">
        <f t="shared" si="4"/>
        <v>4533.0729402967454</v>
      </c>
      <c r="M48" s="22">
        <v>39.739965099999999</v>
      </c>
      <c r="N48" s="12" t="s">
        <v>106</v>
      </c>
      <c r="O48" s="5">
        <v>208</v>
      </c>
      <c r="P48" s="5">
        <v>0.55610414631300698</v>
      </c>
      <c r="Q48" s="5">
        <f t="shared" si="11"/>
        <v>115.66966243310546</v>
      </c>
      <c r="R48" s="5">
        <v>1.1890271960356322</v>
      </c>
      <c r="S48" s="22">
        <v>3.8730636999999999</v>
      </c>
      <c r="T48" s="24">
        <v>7.2997590687780889E-2</v>
      </c>
      <c r="U48" s="5">
        <f t="shared" si="6"/>
        <v>8.055972495999999</v>
      </c>
      <c r="V48" s="5">
        <f t="shared" si="7"/>
        <v>5880.6658285502845</v>
      </c>
      <c r="W48" s="22">
        <v>31.343753899999999</v>
      </c>
      <c r="X48" s="19"/>
      <c r="Y48" s="5">
        <f t="shared" si="9"/>
        <v>740</v>
      </c>
      <c r="Z48" s="5">
        <f t="shared" si="10"/>
        <v>4.2301929089729224</v>
      </c>
      <c r="AA48" s="21">
        <f t="shared" si="8"/>
        <v>280.76102679587046</v>
      </c>
    </row>
    <row r="49" spans="1:27" x14ac:dyDescent="0.2">
      <c r="A49" s="10" t="s">
        <v>10</v>
      </c>
      <c r="B49" s="7" t="s">
        <v>7</v>
      </c>
      <c r="C49" s="5">
        <v>1</v>
      </c>
      <c r="D49" s="11" t="s">
        <v>88</v>
      </c>
      <c r="E49" s="5">
        <v>489</v>
      </c>
      <c r="F49" s="5">
        <v>0.36927052127022175</v>
      </c>
      <c r="G49" s="5">
        <f t="shared" si="2"/>
        <v>180.57328490113844</v>
      </c>
      <c r="H49" s="5">
        <v>1.3958756120582854</v>
      </c>
      <c r="I49" s="22">
        <v>1.8983893000000001</v>
      </c>
      <c r="J49" s="23">
        <v>5.5856946849745216E-2</v>
      </c>
      <c r="K49" s="5">
        <f t="shared" si="3"/>
        <v>9.283123676999999</v>
      </c>
      <c r="L49" s="5">
        <f t="shared" si="4"/>
        <v>5185.2694582580034</v>
      </c>
      <c r="M49" s="22">
        <v>37.474590499999998</v>
      </c>
      <c r="N49" s="12" t="s">
        <v>107</v>
      </c>
      <c r="O49" s="5">
        <v>102</v>
      </c>
      <c r="P49" s="5">
        <v>0.69891245558112802</v>
      </c>
      <c r="Q49" s="5">
        <f t="shared" si="11"/>
        <v>71.28907046927506</v>
      </c>
      <c r="R49" s="5">
        <v>0.29116423809804726</v>
      </c>
      <c r="S49" s="22">
        <v>3.9511525999999999</v>
      </c>
      <c r="T49" s="24">
        <v>0.15302296626006673</v>
      </c>
      <c r="U49" s="5">
        <f t="shared" si="6"/>
        <v>4.0301756519999996</v>
      </c>
      <c r="V49" s="5">
        <f t="shared" si="7"/>
        <v>6167.0943281813843</v>
      </c>
      <c r="W49" s="22">
        <v>34.6492741</v>
      </c>
      <c r="X49" s="19"/>
      <c r="Y49" s="5">
        <f t="shared" si="9"/>
        <v>591</v>
      </c>
      <c r="Z49" s="5">
        <f t="shared" si="10"/>
        <v>1.6870398501563326</v>
      </c>
      <c r="AA49" s="21">
        <f t="shared" si="8"/>
        <v>251.8623553704135</v>
      </c>
    </row>
    <row r="50" spans="1:27" x14ac:dyDescent="0.2">
      <c r="A50" s="10" t="s">
        <v>10</v>
      </c>
      <c r="B50" s="7" t="s">
        <v>7</v>
      </c>
      <c r="C50" s="5">
        <v>2</v>
      </c>
      <c r="D50" s="11" t="s">
        <v>89</v>
      </c>
      <c r="E50" s="5">
        <v>601</v>
      </c>
      <c r="F50" s="5">
        <v>0.35213407318536294</v>
      </c>
      <c r="G50" s="5">
        <f t="shared" si="2"/>
        <v>211.63257798440313</v>
      </c>
      <c r="H50" s="5">
        <v>1.4886724971978054</v>
      </c>
      <c r="I50" s="22">
        <v>1.7448140999999999</v>
      </c>
      <c r="J50" s="23">
        <v>7.5274132678515127E-2</v>
      </c>
      <c r="K50" s="5">
        <f t="shared" si="3"/>
        <v>10.486332740999998</v>
      </c>
      <c r="L50" s="5">
        <f t="shared" si="4"/>
        <v>7893.4960205709122</v>
      </c>
      <c r="M50" s="22">
        <v>40.520054399999999</v>
      </c>
      <c r="N50" s="12" t="s">
        <v>108</v>
      </c>
      <c r="O50" s="5">
        <v>414</v>
      </c>
      <c r="P50" s="5">
        <v>0.56421959878813299</v>
      </c>
      <c r="Q50" s="5">
        <f t="shared" si="11"/>
        <v>233.58691389828707</v>
      </c>
      <c r="R50" s="5">
        <v>1.0254748982360922</v>
      </c>
      <c r="S50" s="22">
        <v>2.7217452999999998</v>
      </c>
      <c r="T50" s="24">
        <v>0.15127158704706359</v>
      </c>
      <c r="U50" s="5">
        <f t="shared" si="6"/>
        <v>11.268025542</v>
      </c>
      <c r="V50" s="5">
        <f t="shared" si="7"/>
        <v>17045.32106625189</v>
      </c>
      <c r="W50" s="22">
        <v>32.966840599999998</v>
      </c>
      <c r="X50" s="19"/>
      <c r="Y50" s="5">
        <f t="shared" si="9"/>
        <v>1015</v>
      </c>
      <c r="Z50" s="5">
        <f t="shared" si="10"/>
        <v>2.5141473954338975</v>
      </c>
      <c r="AA50" s="21">
        <f t="shared" si="8"/>
        <v>445.21949188269019</v>
      </c>
    </row>
    <row r="51" spans="1:27" x14ac:dyDescent="0.2">
      <c r="A51" s="10" t="s">
        <v>10</v>
      </c>
      <c r="B51" s="7" t="s">
        <v>7</v>
      </c>
      <c r="C51" s="5">
        <v>3</v>
      </c>
      <c r="D51" s="11" t="s">
        <v>90</v>
      </c>
      <c r="E51" s="5">
        <v>551</v>
      </c>
      <c r="F51" s="5">
        <v>0.3286947610477905</v>
      </c>
      <c r="G51" s="5">
        <f t="shared" si="2"/>
        <v>181.11081333733256</v>
      </c>
      <c r="H51" s="5">
        <v>1.3947146706941485</v>
      </c>
      <c r="I51" s="22">
        <v>1.6440857</v>
      </c>
      <c r="J51" s="23">
        <v>9.5375223549681046E-2</v>
      </c>
      <c r="K51" s="5">
        <f t="shared" si="3"/>
        <v>9.0589122069999988</v>
      </c>
      <c r="L51" s="5">
        <f t="shared" si="4"/>
        <v>8639.9577685955956</v>
      </c>
      <c r="M51" s="22">
        <v>37.996072699999999</v>
      </c>
      <c r="N51" s="12" t="s">
        <v>109</v>
      </c>
      <c r="O51" s="5">
        <v>323</v>
      </c>
      <c r="P51" s="5">
        <v>0.55734223830151974</v>
      </c>
      <c r="Q51" s="5">
        <f t="shared" si="11"/>
        <v>180.02154297139089</v>
      </c>
      <c r="R51" s="5">
        <v>0.81759135868277666</v>
      </c>
      <c r="S51" s="22">
        <v>3.072025</v>
      </c>
      <c r="T51" s="24">
        <v>0.17920083211451723</v>
      </c>
      <c r="U51" s="5">
        <f t="shared" si="6"/>
        <v>9.9226407500000011</v>
      </c>
      <c r="V51" s="5">
        <f t="shared" si="7"/>
        <v>17781.454791734173</v>
      </c>
      <c r="W51" s="22">
        <v>34.318685000000002</v>
      </c>
      <c r="X51" s="19"/>
      <c r="Y51" s="5">
        <f t="shared" si="9"/>
        <v>874</v>
      </c>
      <c r="Z51" s="5">
        <f t="shared" si="10"/>
        <v>2.2123060293769252</v>
      </c>
      <c r="AA51" s="21">
        <f t="shared" si="8"/>
        <v>361.13235630872344</v>
      </c>
    </row>
    <row r="52" spans="1:27" x14ac:dyDescent="0.2">
      <c r="A52" s="10" t="s">
        <v>10</v>
      </c>
      <c r="B52" s="7" t="s">
        <v>7</v>
      </c>
      <c r="C52" s="5">
        <v>4</v>
      </c>
      <c r="D52" s="11" t="s">
        <v>91</v>
      </c>
      <c r="E52" s="5">
        <v>494</v>
      </c>
      <c r="F52" s="5">
        <v>0.32225499001996011</v>
      </c>
      <c r="G52" s="5">
        <f t="shared" si="2"/>
        <v>159.1939650698603</v>
      </c>
      <c r="H52" s="5">
        <v>2.0418231969404674</v>
      </c>
      <c r="I52" s="22">
        <v>1.9819549999999999</v>
      </c>
      <c r="J52" s="23">
        <v>7.1532652064139265E-2</v>
      </c>
      <c r="K52" s="5">
        <f t="shared" si="3"/>
        <v>9.7908576999999983</v>
      </c>
      <c r="L52" s="5">
        <f t="shared" si="4"/>
        <v>7003.6601726359877</v>
      </c>
      <c r="M52" s="22">
        <v>33.260947999999999</v>
      </c>
      <c r="N52" s="12" t="s">
        <v>110</v>
      </c>
      <c r="O52" s="5">
        <v>182</v>
      </c>
      <c r="P52" s="5">
        <v>0.50314597976059405</v>
      </c>
      <c r="Q52" s="5">
        <f t="shared" si="11"/>
        <v>91.572568316428118</v>
      </c>
      <c r="R52" s="5">
        <v>0.75225065150438286</v>
      </c>
      <c r="S52" s="22">
        <v>4.0553024000000004</v>
      </c>
      <c r="T52" s="24">
        <v>0.15435554727261791</v>
      </c>
      <c r="U52" s="5">
        <f t="shared" si="6"/>
        <v>7.3806503680000004</v>
      </c>
      <c r="V52" s="5">
        <f t="shared" si="7"/>
        <v>11392.443267804889</v>
      </c>
      <c r="W52" s="22">
        <v>34.387667299999997</v>
      </c>
      <c r="X52" s="19"/>
      <c r="Y52" s="5">
        <f t="shared" si="9"/>
        <v>676</v>
      </c>
      <c r="Z52" s="5">
        <f t="shared" si="10"/>
        <v>2.7940738484448504</v>
      </c>
      <c r="AA52" s="21">
        <f t="shared" si="8"/>
        <v>250.76653338628842</v>
      </c>
    </row>
    <row r="53" spans="1:27" x14ac:dyDescent="0.2">
      <c r="A53" s="10" t="s">
        <v>10</v>
      </c>
      <c r="B53" s="7" t="s">
        <v>7</v>
      </c>
      <c r="C53" s="5">
        <v>6</v>
      </c>
      <c r="D53" s="11" t="s">
        <v>92</v>
      </c>
      <c r="E53" s="5">
        <v>467</v>
      </c>
      <c r="F53" s="5">
        <v>0.36300789053136201</v>
      </c>
      <c r="G53" s="5">
        <f t="shared" si="2"/>
        <v>169.52468487814605</v>
      </c>
      <c r="H53" s="5">
        <v>1.7498123201091953</v>
      </c>
      <c r="I53" s="22">
        <v>1.7600026</v>
      </c>
      <c r="J53" s="23">
        <v>7.3490432884555298E-2</v>
      </c>
      <c r="K53" s="5">
        <f t="shared" si="3"/>
        <v>8.2192121419999999</v>
      </c>
      <c r="L53" s="5">
        <f t="shared" si="4"/>
        <v>6040.3345828557303</v>
      </c>
      <c r="M53" s="22">
        <v>36.3187906</v>
      </c>
      <c r="N53" s="12" t="s">
        <v>111</v>
      </c>
      <c r="O53" s="5">
        <v>223</v>
      </c>
      <c r="P53" s="5">
        <v>0.50571713695953102</v>
      </c>
      <c r="Q53" s="5">
        <f t="shared" si="11"/>
        <v>112.77492154197542</v>
      </c>
      <c r="R53" s="5">
        <v>0.8355634847630633</v>
      </c>
      <c r="S53" s="22">
        <v>3.1862664000000001</v>
      </c>
      <c r="T53" s="24">
        <v>0.135303115041427</v>
      </c>
      <c r="U53" s="5">
        <f t="shared" si="6"/>
        <v>7.105374072</v>
      </c>
      <c r="V53" s="5">
        <f t="shared" si="7"/>
        <v>9613.7924547618859</v>
      </c>
      <c r="W53" s="22">
        <v>34.500415699999998</v>
      </c>
      <c r="X53" s="19"/>
      <c r="Y53" s="5">
        <f t="shared" si="9"/>
        <v>690</v>
      </c>
      <c r="Z53" s="5">
        <f t="shared" si="10"/>
        <v>2.5853758048722586</v>
      </c>
      <c r="AA53" s="21">
        <f t="shared" si="8"/>
        <v>282.29960642012145</v>
      </c>
    </row>
    <row r="54" spans="1:27" x14ac:dyDescent="0.2">
      <c r="A54" s="10" t="s">
        <v>10</v>
      </c>
      <c r="B54" s="8" t="s">
        <v>8</v>
      </c>
      <c r="C54" s="5">
        <v>1</v>
      </c>
      <c r="D54" s="11" t="s">
        <v>93</v>
      </c>
      <c r="E54" s="5">
        <v>423</v>
      </c>
      <c r="F54" s="5">
        <v>0.4803778953674121</v>
      </c>
      <c r="G54" s="5">
        <f t="shared" si="2"/>
        <v>203.19984974041532</v>
      </c>
      <c r="H54" s="5">
        <v>0.21973857611327346</v>
      </c>
      <c r="I54" s="22">
        <v>1.3090828999999999</v>
      </c>
      <c r="J54" s="23">
        <v>1.1833097557668299E-2</v>
      </c>
      <c r="K54" s="5">
        <f t="shared" si="3"/>
        <v>5.5374206670000001</v>
      </c>
      <c r="L54" s="5">
        <f t="shared" si="4"/>
        <v>655.24838970459666</v>
      </c>
      <c r="M54" s="22">
        <v>32.5821039</v>
      </c>
      <c r="N54" s="12" t="s">
        <v>112</v>
      </c>
      <c r="O54" s="5">
        <v>58</v>
      </c>
      <c r="P54" s="5">
        <v>0.43720138094540945</v>
      </c>
      <c r="Q54" s="5">
        <f t="shared" si="11"/>
        <v>25.357680094833746</v>
      </c>
      <c r="R54" s="5">
        <v>3.0129639277942932E-2</v>
      </c>
      <c r="S54" s="22">
        <v>3.7500602000000001</v>
      </c>
      <c r="T54" s="24">
        <v>3.7179740002057003E-2</v>
      </c>
      <c r="U54" s="5">
        <f t="shared" si="6"/>
        <v>2.175034916</v>
      </c>
      <c r="V54" s="5">
        <f t="shared" si="7"/>
        <v>808.67232672275907</v>
      </c>
      <c r="W54" s="22">
        <v>27.8267332</v>
      </c>
      <c r="X54" s="19"/>
      <c r="Y54" s="5">
        <f t="shared" si="9"/>
        <v>481</v>
      </c>
      <c r="Z54" s="5">
        <f t="shared" si="10"/>
        <v>0.2498682153912164</v>
      </c>
      <c r="AA54" s="21">
        <f t="shared" si="8"/>
        <v>228.55752983524906</v>
      </c>
    </row>
    <row r="55" spans="1:27" x14ac:dyDescent="0.2">
      <c r="A55" s="10" t="s">
        <v>10</v>
      </c>
      <c r="B55" s="8" t="s">
        <v>8</v>
      </c>
      <c r="C55" s="5">
        <v>2</v>
      </c>
      <c r="D55" s="11" t="s">
        <v>94</v>
      </c>
      <c r="E55" s="5">
        <v>462</v>
      </c>
      <c r="F55" s="5">
        <v>0.43391137090327747</v>
      </c>
      <c r="G55" s="5">
        <f t="shared" si="2"/>
        <v>200.4670533573142</v>
      </c>
      <c r="H55" s="5">
        <v>0.33548574492805439</v>
      </c>
      <c r="I55" s="22">
        <v>1.4711118999999999</v>
      </c>
      <c r="J55" s="23">
        <v>1.3860578747360601E-2</v>
      </c>
      <c r="K55" s="5">
        <f t="shared" si="3"/>
        <v>6.7965369779999989</v>
      </c>
      <c r="L55" s="5">
        <f t="shared" si="4"/>
        <v>942.03935992917229</v>
      </c>
      <c r="M55" s="22">
        <v>39.915192500000003</v>
      </c>
      <c r="N55" s="12" t="s">
        <v>113</v>
      </c>
      <c r="O55" s="5">
        <v>135</v>
      </c>
      <c r="P55" s="5">
        <v>0.40587603421882101</v>
      </c>
      <c r="Q55" s="5">
        <f t="shared" si="11"/>
        <v>54.793264619540835</v>
      </c>
      <c r="R55" s="5">
        <v>9.8031548842613295E-2</v>
      </c>
      <c r="S55" s="22">
        <v>3.2376828999999998</v>
      </c>
      <c r="T55" s="24">
        <v>2.3313972504911601E-2</v>
      </c>
      <c r="U55" s="5">
        <f t="shared" si="6"/>
        <v>4.3708719149999995</v>
      </c>
      <c r="V55" s="5">
        <f t="shared" si="7"/>
        <v>1019.023876488003</v>
      </c>
      <c r="W55" s="22">
        <v>28.654158200000001</v>
      </c>
      <c r="X55" s="19"/>
      <c r="Y55" s="5">
        <f t="shared" si="9"/>
        <v>597</v>
      </c>
      <c r="Z55" s="5">
        <f t="shared" si="10"/>
        <v>0.43351729377066767</v>
      </c>
      <c r="AA55" s="21">
        <f t="shared" si="8"/>
        <v>255.26031797685505</v>
      </c>
    </row>
    <row r="56" spans="1:27" x14ac:dyDescent="0.2">
      <c r="A56" s="10" t="s">
        <v>10</v>
      </c>
      <c r="B56" s="8" t="s">
        <v>8</v>
      </c>
      <c r="C56" s="5">
        <v>3</v>
      </c>
      <c r="D56" s="11" t="s">
        <v>95</v>
      </c>
      <c r="E56" s="5">
        <v>447</v>
      </c>
      <c r="F56" s="5">
        <v>0.35185264735264743</v>
      </c>
      <c r="G56" s="5">
        <f t="shared" si="2"/>
        <v>157.2781333666334</v>
      </c>
      <c r="H56" s="5">
        <v>0.30000369439929064</v>
      </c>
      <c r="I56" s="22">
        <v>1.6987597999999999</v>
      </c>
      <c r="J56" s="23">
        <v>1.04934033601734E-2</v>
      </c>
      <c r="K56" s="5">
        <f t="shared" si="3"/>
        <v>7.5934563059999993</v>
      </c>
      <c r="L56" s="5">
        <f t="shared" si="4"/>
        <v>796.81199916710284</v>
      </c>
      <c r="M56" s="22">
        <v>40.428255499999999</v>
      </c>
      <c r="N56" s="12" t="s">
        <v>114</v>
      </c>
      <c r="O56" s="5">
        <v>146</v>
      </c>
      <c r="P56" s="5">
        <v>0.41146907496713597</v>
      </c>
      <c r="Q56" s="5">
        <f t="shared" si="11"/>
        <v>60.074484945201853</v>
      </c>
      <c r="R56" s="5">
        <v>9.7987783853012156E-2</v>
      </c>
      <c r="S56" s="22">
        <v>3.1634395</v>
      </c>
      <c r="T56" s="24">
        <v>2.5699692772024999E-2</v>
      </c>
      <c r="U56" s="5">
        <f t="shared" si="6"/>
        <v>4.6186216699999996</v>
      </c>
      <c r="V56" s="5">
        <f t="shared" si="7"/>
        <v>1186.9715794921703</v>
      </c>
      <c r="W56" s="22">
        <v>29.083564899999999</v>
      </c>
      <c r="X56" s="19"/>
      <c r="Y56" s="5">
        <f t="shared" si="9"/>
        <v>593</v>
      </c>
      <c r="Z56" s="5">
        <f t="shared" si="10"/>
        <v>0.3979914782523028</v>
      </c>
      <c r="AA56" s="21">
        <f t="shared" si="8"/>
        <v>217.35261831183524</v>
      </c>
    </row>
    <row r="57" spans="1:27" x14ac:dyDescent="0.2">
      <c r="A57" s="10" t="s">
        <v>10</v>
      </c>
      <c r="B57" s="8" t="s">
        <v>8</v>
      </c>
      <c r="C57" s="5">
        <v>4</v>
      </c>
      <c r="D57" s="11" t="s">
        <v>96</v>
      </c>
      <c r="E57" s="5">
        <v>389</v>
      </c>
      <c r="F57" s="5">
        <v>0.51045150000000006</v>
      </c>
      <c r="G57" s="5">
        <f t="shared" si="2"/>
        <v>198.56563350000002</v>
      </c>
      <c r="H57" s="5">
        <v>0.3027145332401131</v>
      </c>
      <c r="I57" s="22">
        <v>1.3894291999999999</v>
      </c>
      <c r="J57" s="23">
        <v>1.1319222693026799E-2</v>
      </c>
      <c r="K57" s="5">
        <f t="shared" si="3"/>
        <v>5.404879588</v>
      </c>
      <c r="L57" s="5">
        <f t="shared" si="4"/>
        <v>611.79035685566942</v>
      </c>
      <c r="M57" s="22">
        <v>40.650404600000002</v>
      </c>
      <c r="N57" s="12" t="s">
        <v>115</v>
      </c>
      <c r="O57" s="5">
        <v>27</v>
      </c>
      <c r="P57" s="5">
        <v>0.64178590549568204</v>
      </c>
      <c r="Q57" s="5">
        <f t="shared" si="11"/>
        <v>17.328219448383415</v>
      </c>
      <c r="R57" s="5">
        <v>2.1011034440830471E-2</v>
      </c>
      <c r="S57" s="22">
        <v>5.4672980999999998</v>
      </c>
      <c r="T57" s="24">
        <v>5.9176643863483001E-2</v>
      </c>
      <c r="U57" s="5">
        <f t="shared" si="6"/>
        <v>1.4761704870000001</v>
      </c>
      <c r="V57" s="5">
        <f t="shared" si="7"/>
        <v>873.54815190983265</v>
      </c>
      <c r="W57" s="22">
        <v>28.784906899999999</v>
      </c>
      <c r="X57" s="19"/>
      <c r="Y57" s="5">
        <f t="shared" si="9"/>
        <v>416</v>
      </c>
      <c r="Z57" s="5">
        <f t="shared" si="10"/>
        <v>0.32372556768094357</v>
      </c>
      <c r="AA57" s="21">
        <f t="shared" si="8"/>
        <v>215.89385294838343</v>
      </c>
    </row>
    <row r="58" spans="1:27" x14ac:dyDescent="0.2">
      <c r="A58" s="10" t="s">
        <v>10</v>
      </c>
      <c r="B58" s="8" t="s">
        <v>8</v>
      </c>
      <c r="C58" s="5">
        <v>6</v>
      </c>
      <c r="D58" s="11" t="s">
        <v>97</v>
      </c>
      <c r="E58" s="5">
        <v>391</v>
      </c>
      <c r="F58" s="5">
        <v>0.38090005990415349</v>
      </c>
      <c r="G58" s="5">
        <f t="shared" si="2"/>
        <v>148.93192342252402</v>
      </c>
      <c r="H58" s="5">
        <v>0.25685831406348542</v>
      </c>
      <c r="I58" s="22">
        <v>1.9699344000000001</v>
      </c>
      <c r="J58" s="23">
        <v>1.0717896448732001E-2</v>
      </c>
      <c r="K58" s="5">
        <f t="shared" si="3"/>
        <v>7.7024435040000006</v>
      </c>
      <c r="L58" s="5">
        <f t="shared" si="4"/>
        <v>825.53991878080467</v>
      </c>
      <c r="M58" s="22">
        <v>37.902932800000002</v>
      </c>
      <c r="N58" s="12" t="s">
        <v>116</v>
      </c>
      <c r="O58" s="5">
        <v>23</v>
      </c>
      <c r="P58" s="5">
        <v>0.53523526813900568</v>
      </c>
      <c r="Q58" s="5">
        <f t="shared" si="11"/>
        <v>12.310411167197131</v>
      </c>
      <c r="R58" s="5">
        <v>1.510931259196973E-2</v>
      </c>
      <c r="S58" s="22">
        <v>4.2855752999999996</v>
      </c>
      <c r="T58" s="24">
        <v>8.7617356825457002E-2</v>
      </c>
      <c r="U58" s="5">
        <f t="shared" si="6"/>
        <v>0.98568231899999992</v>
      </c>
      <c r="V58" s="5">
        <f t="shared" si="7"/>
        <v>863.62879460366923</v>
      </c>
      <c r="W58" s="22">
        <v>27.062988499999999</v>
      </c>
      <c r="X58" s="19"/>
      <c r="Y58" s="5">
        <f t="shared" si="9"/>
        <v>414</v>
      </c>
      <c r="Z58" s="5">
        <f t="shared" si="10"/>
        <v>0.27196762665545515</v>
      </c>
      <c r="AA58" s="21">
        <f t="shared" si="8"/>
        <v>161.24233458972117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CourtyPE</dc:creator>
  <cp:lastModifiedBy>CourtyPE</cp:lastModifiedBy>
  <cp:lastPrinted>2024-08-20T11:01:48Z</cp:lastPrinted>
  <dcterms:created xsi:type="dcterms:W3CDTF">2024-08-01T21:45:04Z</dcterms:created>
  <dcterms:modified xsi:type="dcterms:W3CDTF">2024-10-22T15:29:01Z</dcterms:modified>
</cp:coreProperties>
</file>