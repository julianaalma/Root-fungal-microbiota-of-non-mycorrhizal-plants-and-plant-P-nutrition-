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aalmario/Documents/Labo/MS/4_Pauline_xp/V5_Rev_Microbiome_2026/"/>
    </mc:Choice>
  </mc:AlternateContent>
  <xr:revisionPtr revIDLastSave="0" documentId="8_{AABE55EE-B4CA-934B-AADC-16A7E5BDAE17}" xr6:coauthVersionLast="47" xr6:coauthVersionMax="47" xr10:uidLastSave="{00000000-0000-0000-0000-000000000000}"/>
  <bookViews>
    <workbookView xWindow="840" yWindow="-20360" windowWidth="32340" windowHeight="20200" xr2:uid="{02AD507C-A93E-E34A-93D3-CE1D545A7484}"/>
  </bookViews>
  <sheets>
    <sheet name="Graphs" sheetId="2" r:id="rId1"/>
  </sheets>
  <definedNames>
    <definedName name="_xlchart.v1.0" hidden="1">Graphs!$K$11:$K$14</definedName>
    <definedName name="_xlchart.v1.1" hidden="1">Graphs!$L$10</definedName>
    <definedName name="_xlchart.v1.10" hidden="1">Graphs!$M$10</definedName>
    <definedName name="_xlchart.v1.11" hidden="1">Graphs!$M$11:$M$14</definedName>
    <definedName name="_xlchart.v1.12" hidden="1">Graphs!$N$10</definedName>
    <definedName name="_xlchart.v1.13" hidden="1">Graphs!$N$11:$N$14</definedName>
    <definedName name="_xlchart.v1.14" hidden="1">Graphs!$K$11:$K$14</definedName>
    <definedName name="_xlchart.v1.15" hidden="1">Graphs!$L$10</definedName>
    <definedName name="_xlchart.v1.16" hidden="1">Graphs!$L$11:$L$14</definedName>
    <definedName name="_xlchart.v1.17" hidden="1">Graphs!$M$10</definedName>
    <definedName name="_xlchart.v1.18" hidden="1">Graphs!$M$11:$M$14</definedName>
    <definedName name="_xlchart.v1.19" hidden="1">Graphs!$N$10</definedName>
    <definedName name="_xlchart.v1.2" hidden="1">Graphs!$L$11:$L$14</definedName>
    <definedName name="_xlchart.v1.20" hidden="1">Graphs!$N$11:$N$14</definedName>
    <definedName name="_xlchart.v1.21" hidden="1">Graphs!$K$11:$K$14</definedName>
    <definedName name="_xlchart.v1.22" hidden="1">Graphs!$L$10</definedName>
    <definedName name="_xlchart.v1.23" hidden="1">Graphs!$L$11:$L$14</definedName>
    <definedName name="_xlchart.v1.24" hidden="1">Graphs!$M$10</definedName>
    <definedName name="_xlchart.v1.25" hidden="1">Graphs!$M$11:$M$14</definedName>
    <definedName name="_xlchart.v1.26" hidden="1">Graphs!$N$10</definedName>
    <definedName name="_xlchart.v1.27" hidden="1">Graphs!$N$11:$N$14</definedName>
    <definedName name="_xlchart.v1.28" hidden="1">Graphs!$K$11:$K$14</definedName>
    <definedName name="_xlchart.v1.29" hidden="1">Graphs!$L$10</definedName>
    <definedName name="_xlchart.v1.3" hidden="1">Graphs!$M$10</definedName>
    <definedName name="_xlchart.v1.30" hidden="1">Graphs!$L$11:$L$14</definedName>
    <definedName name="_xlchart.v1.31" hidden="1">Graphs!$M$10</definedName>
    <definedName name="_xlchart.v1.32" hidden="1">Graphs!$M$11:$M$14</definedName>
    <definedName name="_xlchart.v1.33" hidden="1">Graphs!$N$10</definedName>
    <definedName name="_xlchart.v1.34" hidden="1">Graphs!$N$11:$N$14</definedName>
    <definedName name="_xlchart.v1.35" hidden="1">Graphs!$K$11:$K$14</definedName>
    <definedName name="_xlchart.v1.36" hidden="1">Graphs!$L$10</definedName>
    <definedName name="_xlchart.v1.37" hidden="1">Graphs!$L$11:$L$14</definedName>
    <definedName name="_xlchart.v1.38" hidden="1">Graphs!$M$10</definedName>
    <definedName name="_xlchart.v1.39" hidden="1">Graphs!$M$11:$M$14</definedName>
    <definedName name="_xlchart.v1.4" hidden="1">Graphs!$M$11:$M$14</definedName>
    <definedName name="_xlchart.v1.40" hidden="1">Graphs!$N$10</definedName>
    <definedName name="_xlchart.v1.41" hidden="1">Graphs!$N$11:$N$14</definedName>
    <definedName name="_xlchart.v1.42" hidden="1">Graphs!$K$11:$K$14</definedName>
    <definedName name="_xlchart.v1.43" hidden="1">Graphs!$L$10</definedName>
    <definedName name="_xlchart.v1.44" hidden="1">Graphs!$L$11:$L$14</definedName>
    <definedName name="_xlchart.v1.45" hidden="1">Graphs!$M$10</definedName>
    <definedName name="_xlchart.v1.46" hidden="1">Graphs!$M$11:$M$14</definedName>
    <definedName name="_xlchart.v1.47" hidden="1">Graphs!$N$10</definedName>
    <definedName name="_xlchart.v1.48" hidden="1">Graphs!$N$11:$N$14</definedName>
    <definedName name="_xlchart.v1.5" hidden="1">Graphs!$N$10</definedName>
    <definedName name="_xlchart.v1.56" hidden="1">Graphs!$K$11:$K$14</definedName>
    <definedName name="_xlchart.v1.57" hidden="1">Graphs!$L$10</definedName>
    <definedName name="_xlchart.v1.58" hidden="1">Graphs!$L$11:$L$14</definedName>
    <definedName name="_xlchart.v1.59" hidden="1">Graphs!$M$10</definedName>
    <definedName name="_xlchart.v1.6" hidden="1">Graphs!$N$11:$N$14</definedName>
    <definedName name="_xlchart.v1.60" hidden="1">Graphs!$M$11:$M$14</definedName>
    <definedName name="_xlchart.v1.61" hidden="1">Graphs!$N$10</definedName>
    <definedName name="_xlchart.v1.62" hidden="1">Graphs!$N$11:$N$14</definedName>
    <definedName name="_xlchart.v1.63" hidden="1">Graphs!$K$11:$K$14</definedName>
    <definedName name="_xlchart.v1.64" hidden="1">Graphs!$L$10</definedName>
    <definedName name="_xlchart.v1.65" hidden="1">Graphs!$L$11:$L$14</definedName>
    <definedName name="_xlchart.v1.66" hidden="1">Graphs!$M$10</definedName>
    <definedName name="_xlchart.v1.67" hidden="1">Graphs!$M$11:$M$14</definedName>
    <definedName name="_xlchart.v1.68" hidden="1">Graphs!$N$10</definedName>
    <definedName name="_xlchart.v1.69" hidden="1">Graphs!$N$11:$N$14</definedName>
    <definedName name="_xlchart.v1.7" hidden="1">Graphs!$K$11:$K$14</definedName>
    <definedName name="_xlchart.v1.8" hidden="1">Graphs!$L$10</definedName>
    <definedName name="_xlchart.v1.9" hidden="1">Graphs!$L$11:$L$14</definedName>
    <definedName name="_xlchart.v2.49" hidden="1">Graphs!$K$11:$K$14</definedName>
    <definedName name="_xlchart.v2.50" hidden="1">Graphs!$L$10</definedName>
    <definedName name="_xlchart.v2.51" hidden="1">Graphs!$L$11:$L$14</definedName>
    <definedName name="_xlchart.v2.52" hidden="1">Graphs!$M$10</definedName>
    <definedName name="_xlchart.v2.53" hidden="1">Graphs!$M$11:$M$14</definedName>
    <definedName name="_xlchart.v2.54" hidden="1">Graphs!$N$10</definedName>
    <definedName name="_xlchart.v2.55" hidden="1">Graphs!$N$11:$N$14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L13" i="2"/>
  <c r="K12" i="2"/>
  <c r="K13" i="2"/>
  <c r="K14" i="2"/>
  <c r="K1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L3" i="2" s="1"/>
  <c r="H17" i="2"/>
  <c r="H18" i="2"/>
  <c r="H19" i="2"/>
  <c r="H20" i="2"/>
  <c r="H21" i="2"/>
  <c r="H22" i="2"/>
  <c r="N3" i="2" s="1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M3" i="2" s="1"/>
  <c r="H38" i="2"/>
  <c r="H39" i="2"/>
  <c r="N4" i="2" s="1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N5" i="2" s="1"/>
  <c r="H64" i="2"/>
  <c r="M5" i="2" s="1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N6" i="2" s="1"/>
  <c r="H83" i="2"/>
  <c r="H84" i="2"/>
  <c r="H85" i="2"/>
  <c r="M6" i="2" s="1"/>
  <c r="H86" i="2"/>
  <c r="L6" i="2" s="1"/>
  <c r="H87" i="2"/>
  <c r="H88" i="2"/>
  <c r="H89" i="2"/>
  <c r="H90" i="2"/>
  <c r="H91" i="2"/>
  <c r="H92" i="2"/>
  <c r="H93" i="2"/>
  <c r="H94" i="2"/>
  <c r="H95" i="2"/>
  <c r="H96" i="2"/>
  <c r="H97" i="2"/>
  <c r="N7" i="2" s="1"/>
  <c r="H98" i="2"/>
  <c r="H99" i="2"/>
  <c r="H100" i="2"/>
  <c r="H101" i="2"/>
  <c r="H102" i="2"/>
  <c r="H103" i="2"/>
  <c r="H104" i="2"/>
  <c r="H105" i="2"/>
  <c r="H106" i="2"/>
  <c r="H107" i="2"/>
  <c r="H108" i="2"/>
  <c r="H109" i="2"/>
  <c r="H2" i="2"/>
  <c r="N2" i="2" s="1"/>
  <c r="O3" i="2" l="1"/>
  <c r="N12" i="2" s="1"/>
  <c r="O6" i="2"/>
  <c r="M13" i="2" s="1"/>
  <c r="M12" i="2"/>
  <c r="N13" i="2"/>
  <c r="L4" i="2"/>
  <c r="M4" i="2"/>
  <c r="L7" i="2"/>
  <c r="L2" i="2"/>
  <c r="M7" i="2"/>
  <c r="M2" i="2"/>
  <c r="L5" i="2"/>
  <c r="O5" i="2" s="1"/>
  <c r="O2" i="2" l="1"/>
  <c r="N11" i="2" s="1"/>
  <c r="L11" i="2"/>
  <c r="O4" i="2"/>
  <c r="L12" i="2"/>
  <c r="O7" i="2"/>
  <c r="N14" i="2" s="1"/>
  <c r="M11" i="2" l="1"/>
  <c r="M14" i="2"/>
</calcChain>
</file>

<file path=xl/sharedStrings.xml><?xml version="1.0" encoding="utf-8"?>
<sst xmlns="http://schemas.openxmlformats.org/spreadsheetml/2006/main" count="256" uniqueCount="21">
  <si>
    <t>Treatment</t>
  </si>
  <si>
    <t>Plant</t>
  </si>
  <si>
    <t>A. alpina</t>
  </si>
  <si>
    <t>1_39</t>
  </si>
  <si>
    <t>S+IR+IC</t>
  </si>
  <si>
    <t>S</t>
  </si>
  <si>
    <t>S+IR</t>
  </si>
  <si>
    <t>1_40</t>
  </si>
  <si>
    <t>Image</t>
  </si>
  <si>
    <t>C. sempervirens</t>
  </si>
  <si>
    <t>M. verna</t>
  </si>
  <si>
    <t>Experiment</t>
  </si>
  <si>
    <t>Total images</t>
  </si>
  <si>
    <t>Percentages</t>
  </si>
  <si>
    <t>C. sempervirens_1_39</t>
  </si>
  <si>
    <t>C. sempervirens_1_40</t>
  </si>
  <si>
    <t>Class</t>
  </si>
  <si>
    <t>Images per class</t>
  </si>
  <si>
    <t>S= Surface Hyphae observed</t>
  </si>
  <si>
    <t>IR = Intra-radical hyphae observed</t>
  </si>
  <si>
    <t>IC= Intracellular hyphae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</si>
</sst>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  <xf numFmtId="0" fontId="0" fillId="0" borderId="2" xfId="0" applyBorder="1"/>
    <xf numFmtId="0" fontId="0" fillId="0" borderId="2" xfId="0" applyFill="1" applyBorder="1"/>
    <xf numFmtId="0" fontId="1" fillId="0" borderId="0" xfId="0" applyFont="1" applyFill="1" applyBorder="1"/>
  </cellXfs>
  <cellStyles count="2">
    <cellStyle name="Normal" xfId="0" builtinId="0"/>
    <cellStyle name="Normal 2" xfId="1" xr:uid="{DE897BFD-F241-9E4B-B2B7-2D911191E9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Colonisation type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Graphs!$L$10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Graphs!$K$11:$K$16</c:f>
              <c:strCache>
                <c:ptCount val="6"/>
                <c:pt idx="0">
                  <c:v>A. alpina_1_39</c:v>
                </c:pt>
                <c:pt idx="1">
                  <c:v>A. alpina_1_40</c:v>
                </c:pt>
                <c:pt idx="2">
                  <c:v>M. verna_1_39</c:v>
                </c:pt>
                <c:pt idx="3">
                  <c:v>M. verna_1_40</c:v>
                </c:pt>
                <c:pt idx="4">
                  <c:v>C. sempervirens_1_39</c:v>
                </c:pt>
                <c:pt idx="5">
                  <c:v>C. sempervirens_1_40</c:v>
                </c:pt>
              </c:strCache>
            </c:strRef>
          </c:cat>
          <c:val>
            <c:numRef>
              <c:f>Graphs!$L$11:$L$16</c:f>
              <c:numCache>
                <c:formatCode>General</c:formatCode>
                <c:ptCount val="6"/>
                <c:pt idx="0">
                  <c:v>0.21428571428571427</c:v>
                </c:pt>
                <c:pt idx="1">
                  <c:v>0.2608695652173913</c:v>
                </c:pt>
                <c:pt idx="2">
                  <c:v>0.33333333333333331</c:v>
                </c:pt>
                <c:pt idx="3">
                  <c:v>0.53846153846153844</c:v>
                </c:pt>
                <c:pt idx="4">
                  <c:v>0.41666666666666669</c:v>
                </c:pt>
                <c:pt idx="5">
                  <c:v>0.52631578947368418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7-614A-AF47-536A68A3DED0}"/>
            </c:ext>
          </c:extLst>
        </c:ser>
        <c:ser>
          <c:idx val="1"/>
          <c:order val="1"/>
          <c:tx>
            <c:strRef>
              <c:f>Graphs!$M$10</c:f>
              <c:strCache>
                <c:ptCount val="1"/>
                <c:pt idx="0">
                  <c:v>S+IR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Graphs!$K$11:$K$16</c:f>
              <c:strCache>
                <c:ptCount val="6"/>
                <c:pt idx="0">
                  <c:v>A. alpina_1_39</c:v>
                </c:pt>
                <c:pt idx="1">
                  <c:v>A. alpina_1_40</c:v>
                </c:pt>
                <c:pt idx="2">
                  <c:v>M. verna_1_39</c:v>
                </c:pt>
                <c:pt idx="3">
                  <c:v>M. verna_1_40</c:v>
                </c:pt>
                <c:pt idx="4">
                  <c:v>C. sempervirens_1_39</c:v>
                </c:pt>
                <c:pt idx="5">
                  <c:v>C. sempervirens_1_40</c:v>
                </c:pt>
              </c:strCache>
            </c:strRef>
          </c:cat>
          <c:val>
            <c:numRef>
              <c:f>Graphs!$M$11:$M$16</c:f>
              <c:numCache>
                <c:formatCode>General</c:formatCode>
                <c:ptCount val="6"/>
                <c:pt idx="0">
                  <c:v>0.35714285714285715</c:v>
                </c:pt>
                <c:pt idx="1">
                  <c:v>0.47826086956521741</c:v>
                </c:pt>
                <c:pt idx="2">
                  <c:v>0.53333333333333333</c:v>
                </c:pt>
                <c:pt idx="3">
                  <c:v>0.30769230769230771</c:v>
                </c:pt>
                <c:pt idx="4">
                  <c:v>0.45833333333333331</c:v>
                </c:pt>
                <c:pt idx="5">
                  <c:v>0.47368421052631576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7-614A-AF47-536A68A3DED0}"/>
            </c:ext>
          </c:extLst>
        </c:ser>
        <c:ser>
          <c:idx val="2"/>
          <c:order val="2"/>
          <c:tx>
            <c:strRef>
              <c:f>Graphs!$N$10</c:f>
              <c:strCache>
                <c:ptCount val="1"/>
                <c:pt idx="0">
                  <c:v>S+IR+IC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Graphs!$K$11:$K$16</c:f>
              <c:strCache>
                <c:ptCount val="6"/>
                <c:pt idx="0">
                  <c:v>A. alpina_1_39</c:v>
                </c:pt>
                <c:pt idx="1">
                  <c:v>A. alpina_1_40</c:v>
                </c:pt>
                <c:pt idx="2">
                  <c:v>M. verna_1_39</c:v>
                </c:pt>
                <c:pt idx="3">
                  <c:v>M. verna_1_40</c:v>
                </c:pt>
                <c:pt idx="4">
                  <c:v>C. sempervirens_1_39</c:v>
                </c:pt>
                <c:pt idx="5">
                  <c:v>C. sempervirens_1_40</c:v>
                </c:pt>
              </c:strCache>
            </c:strRef>
          </c:cat>
          <c:val>
            <c:numRef>
              <c:f>Graphs!$N$11:$N$16</c:f>
              <c:numCache>
                <c:formatCode>General</c:formatCode>
                <c:ptCount val="6"/>
                <c:pt idx="0">
                  <c:v>0.42857142857142855</c:v>
                </c:pt>
                <c:pt idx="1">
                  <c:v>0.2608695652173913</c:v>
                </c:pt>
                <c:pt idx="2">
                  <c:v>0.13333333333333333</c:v>
                </c:pt>
                <c:pt idx="3">
                  <c:v>0.15384615384615385</c:v>
                </c:pt>
                <c:pt idx="4">
                  <c:v>0.125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7-614A-AF47-536A68A3D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1"/>
        <c:overlap val="100"/>
        <c:axId val="115318623"/>
        <c:axId val="114887807"/>
      </c:barChart>
      <c:catAx>
        <c:axId val="115318623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14887807"/>
        <c:crosses val="autoZero"/>
        <c:auto val="1"/>
        <c:lblAlgn val="ctr"/>
        <c:lblOffset val="100"/>
        <c:noMultiLvlLbl val="0"/>
      </c:catAx>
      <c:valAx>
        <c:axId val="1148878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FR"/>
          </a:p>
        </c:txPr>
        <c:crossAx val="115318623"/>
        <c:crosses val="autoZero"/>
        <c:crossBetween val="between"/>
        <c:majorUnit val="0.2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282864</xdr:colOff>
      <xdr:row>18</xdr:row>
      <xdr:rowOff>146627</xdr:rowOff>
    </xdr:from>
    <xdr:to>
      <xdr:col>11</xdr:col>
      <xdr:colOff>542637</xdr:colOff>
      <xdr:row>34</xdr:row>
      <xdr:rowOff>23091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E01D12-F555-C79C-4E08-5E12FD505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D027-DBA9-F94E-81B7-F2805F96DADC}">
  <dimension ref="A1:O109"/>
  <sheetViews>
    <sheetView tabSelected="1" zoomScale="110" zoomScaleNormal="110" workbookViewId="0">
      <selection activeCell="O31" sqref="O31"/>
    </sheetView>
  </sheetViews>
  <sheetFormatPr baseColWidth="10" defaultRowHeight="16" x14ac:dyDescent="0.2"/>
  <cols>
    <col min="1" max="1" width="17.1640625" style="4" customWidth="1"/>
    <col min="2" max="4" width="13.33203125" style="4" customWidth="1"/>
    <col min="5" max="5" width="8.83203125" style="4" customWidth="1"/>
    <col min="6" max="6" width="9.83203125" style="4" customWidth="1"/>
    <col min="7" max="7" width="10.5" style="4" customWidth="1"/>
    <col min="10" max="10" width="15.83203125" customWidth="1"/>
    <col min="11" max="11" width="19.33203125" bestFit="1" customWidth="1"/>
  </cols>
  <sheetData>
    <row r="1" spans="1:15" x14ac:dyDescent="0.2">
      <c r="A1" s="3" t="s">
        <v>1</v>
      </c>
      <c r="B1" s="3" t="s">
        <v>0</v>
      </c>
      <c r="C1" s="3" t="s">
        <v>8</v>
      </c>
      <c r="D1" s="3" t="s">
        <v>11</v>
      </c>
      <c r="E1" s="3" t="s">
        <v>5</v>
      </c>
      <c r="F1" s="3" t="s">
        <v>6</v>
      </c>
      <c r="G1" s="3" t="s">
        <v>4</v>
      </c>
      <c r="H1" s="8" t="s">
        <v>16</v>
      </c>
      <c r="J1" s="8" t="s">
        <v>17</v>
      </c>
      <c r="L1" s="2" t="s">
        <v>5</v>
      </c>
      <c r="M1" s="2" t="s">
        <v>6</v>
      </c>
      <c r="N1" s="2" t="s">
        <v>4</v>
      </c>
      <c r="O1" s="8" t="s">
        <v>12</v>
      </c>
    </row>
    <row r="2" spans="1:15" x14ac:dyDescent="0.2">
      <c r="A2" s="4" t="s">
        <v>2</v>
      </c>
      <c r="B2" s="4" t="s">
        <v>3</v>
      </c>
      <c r="C2" s="4">
        <v>637</v>
      </c>
      <c r="D2" s="4">
        <v>1</v>
      </c>
      <c r="E2" s="4">
        <v>1</v>
      </c>
      <c r="F2" s="4">
        <v>1</v>
      </c>
      <c r="G2" s="4">
        <v>1</v>
      </c>
      <c r="H2">
        <f>SUM(E2:G2)</f>
        <v>3</v>
      </c>
      <c r="J2" t="s">
        <v>2</v>
      </c>
      <c r="K2" s="4" t="s">
        <v>3</v>
      </c>
      <c r="L2">
        <f>COUNTIF(H2:H15,"=1")</f>
        <v>3</v>
      </c>
      <c r="M2">
        <f>COUNTIF(H2:H15,"=2")</f>
        <v>5</v>
      </c>
      <c r="N2">
        <f>COUNTIF(H2:H15,"=3")</f>
        <v>6</v>
      </c>
      <c r="O2">
        <f>SUM(L2:N2)</f>
        <v>14</v>
      </c>
    </row>
    <row r="3" spans="1:15" x14ac:dyDescent="0.2">
      <c r="A3" s="4" t="s">
        <v>2</v>
      </c>
      <c r="B3" s="4" t="s">
        <v>3</v>
      </c>
      <c r="C3" s="4">
        <v>62</v>
      </c>
      <c r="D3" s="4">
        <v>1</v>
      </c>
      <c r="E3" s="4">
        <v>1</v>
      </c>
      <c r="F3" s="4">
        <v>1</v>
      </c>
      <c r="G3" s="4">
        <v>1</v>
      </c>
      <c r="H3">
        <f t="shared" ref="H3:H66" si="0">SUM(E3:G3)</f>
        <v>3</v>
      </c>
      <c r="J3" t="s">
        <v>2</v>
      </c>
      <c r="K3" s="4" t="s">
        <v>7</v>
      </c>
      <c r="L3">
        <f>COUNTIF($H$16:$H$38,"=1")</f>
        <v>6</v>
      </c>
      <c r="M3">
        <f>COUNTIF($H$16:$H$38,"=2")</f>
        <v>11</v>
      </c>
      <c r="N3">
        <f>COUNTIF($H$16:$H$38,"=3")</f>
        <v>6</v>
      </c>
      <c r="O3">
        <f t="shared" ref="O3:O7" si="1">SUM(L3:N3)</f>
        <v>23</v>
      </c>
    </row>
    <row r="4" spans="1:15" x14ac:dyDescent="0.2">
      <c r="A4" s="4" t="s">
        <v>2</v>
      </c>
      <c r="B4" s="4" t="s">
        <v>3</v>
      </c>
      <c r="C4" s="4">
        <v>63</v>
      </c>
      <c r="D4" s="4">
        <v>1</v>
      </c>
      <c r="E4" s="4">
        <v>1</v>
      </c>
      <c r="F4" s="4">
        <v>1</v>
      </c>
      <c r="G4" s="4">
        <v>1</v>
      </c>
      <c r="H4">
        <f t="shared" si="0"/>
        <v>3</v>
      </c>
      <c r="J4" s="5" t="s">
        <v>9</v>
      </c>
      <c r="K4" s="4" t="s">
        <v>3</v>
      </c>
      <c r="L4">
        <f>COUNTIF($H$39:$H$62,"=1")</f>
        <v>10</v>
      </c>
      <c r="M4">
        <f>COUNTIF($H$39:$H$62,"=2")</f>
        <v>11</v>
      </c>
      <c r="N4">
        <f>COUNTIF($H$39:$H$62,"=3")</f>
        <v>3</v>
      </c>
      <c r="O4">
        <f t="shared" si="1"/>
        <v>24</v>
      </c>
    </row>
    <row r="5" spans="1:15" x14ac:dyDescent="0.2">
      <c r="A5" s="4" t="s">
        <v>2</v>
      </c>
      <c r="B5" s="4" t="s">
        <v>3</v>
      </c>
      <c r="C5" s="5">
        <v>64</v>
      </c>
      <c r="D5" s="4">
        <v>1</v>
      </c>
      <c r="E5" s="4">
        <v>1</v>
      </c>
      <c r="F5" s="4">
        <v>1</v>
      </c>
      <c r="G5" s="4">
        <v>1</v>
      </c>
      <c r="H5">
        <f t="shared" si="0"/>
        <v>3</v>
      </c>
      <c r="J5" s="5" t="s">
        <v>9</v>
      </c>
      <c r="K5" s="4" t="s">
        <v>7</v>
      </c>
      <c r="L5">
        <f>COUNTIF($H$63:$H$81,"=1")</f>
        <v>10</v>
      </c>
      <c r="M5">
        <f>COUNTIF($H$63:$H$81,"=2")</f>
        <v>9</v>
      </c>
      <c r="N5">
        <f>COUNTIF($H$63:$H$81,"=3")</f>
        <v>0</v>
      </c>
      <c r="O5">
        <f t="shared" si="1"/>
        <v>19</v>
      </c>
    </row>
    <row r="6" spans="1:15" x14ac:dyDescent="0.2">
      <c r="A6" s="4" t="s">
        <v>2</v>
      </c>
      <c r="B6" s="4" t="s">
        <v>3</v>
      </c>
      <c r="C6" s="5">
        <v>65</v>
      </c>
      <c r="D6" s="4">
        <v>1</v>
      </c>
      <c r="E6" s="4">
        <v>1</v>
      </c>
      <c r="F6" s="4">
        <v>1</v>
      </c>
      <c r="G6" s="4">
        <v>1</v>
      </c>
      <c r="H6">
        <f t="shared" si="0"/>
        <v>3</v>
      </c>
      <c r="J6" s="5" t="s">
        <v>10</v>
      </c>
      <c r="K6" s="4" t="s">
        <v>3</v>
      </c>
      <c r="L6">
        <f>COUNTIF($H$82:$H$96,"=1")</f>
        <v>5</v>
      </c>
      <c r="M6">
        <f>COUNTIF($H$82:$H$96,"=2")</f>
        <v>8</v>
      </c>
      <c r="N6">
        <f>COUNTIF($H$82:$H$96,"=3")</f>
        <v>2</v>
      </c>
      <c r="O6">
        <f t="shared" si="1"/>
        <v>15</v>
      </c>
    </row>
    <row r="7" spans="1:15" x14ac:dyDescent="0.2">
      <c r="A7" s="4" t="s">
        <v>2</v>
      </c>
      <c r="B7" s="4" t="s">
        <v>3</v>
      </c>
      <c r="C7" s="5">
        <v>66</v>
      </c>
      <c r="D7" s="4">
        <v>1</v>
      </c>
      <c r="E7" s="4">
        <v>1</v>
      </c>
      <c r="F7" s="4">
        <v>1</v>
      </c>
      <c r="G7" s="4">
        <v>1</v>
      </c>
      <c r="H7">
        <f t="shared" si="0"/>
        <v>3</v>
      </c>
      <c r="J7" s="5" t="s">
        <v>10</v>
      </c>
      <c r="K7" s="4" t="s">
        <v>7</v>
      </c>
      <c r="L7">
        <f>COUNTIF($H$97:$H$109,"=1")</f>
        <v>7</v>
      </c>
      <c r="M7">
        <f>COUNTIF($H$97:$H$109,"=2")</f>
        <v>4</v>
      </c>
      <c r="N7">
        <f>COUNTIF($H$97:$H$109,"=3")</f>
        <v>2</v>
      </c>
      <c r="O7">
        <f t="shared" si="1"/>
        <v>13</v>
      </c>
    </row>
    <row r="8" spans="1:15" x14ac:dyDescent="0.2">
      <c r="A8" s="4" t="s">
        <v>2</v>
      </c>
      <c r="B8" s="4" t="s">
        <v>3</v>
      </c>
      <c r="C8" s="5">
        <v>369</v>
      </c>
      <c r="D8" s="4">
        <v>1</v>
      </c>
      <c r="E8" s="4">
        <v>1</v>
      </c>
      <c r="F8" s="4">
        <v>1</v>
      </c>
      <c r="G8" s="4">
        <v>0</v>
      </c>
      <c r="H8">
        <f t="shared" si="0"/>
        <v>2</v>
      </c>
    </row>
    <row r="9" spans="1:15" x14ac:dyDescent="0.2">
      <c r="A9" s="4" t="s">
        <v>2</v>
      </c>
      <c r="B9" s="4" t="s">
        <v>3</v>
      </c>
      <c r="C9" s="5">
        <v>398</v>
      </c>
      <c r="D9" s="4">
        <v>1</v>
      </c>
      <c r="E9" s="4">
        <v>1</v>
      </c>
      <c r="F9" s="4">
        <v>1</v>
      </c>
      <c r="G9" s="4">
        <v>0</v>
      </c>
      <c r="H9">
        <f t="shared" si="0"/>
        <v>2</v>
      </c>
    </row>
    <row r="10" spans="1:15" x14ac:dyDescent="0.2">
      <c r="A10" s="4" t="s">
        <v>2</v>
      </c>
      <c r="B10" s="4" t="s">
        <v>3</v>
      </c>
      <c r="C10" s="5">
        <v>405</v>
      </c>
      <c r="D10" s="4">
        <v>1</v>
      </c>
      <c r="E10" s="4">
        <v>1</v>
      </c>
      <c r="F10" s="4">
        <v>1</v>
      </c>
      <c r="G10" s="4">
        <v>0</v>
      </c>
      <c r="H10">
        <f t="shared" si="0"/>
        <v>2</v>
      </c>
      <c r="J10" s="1" t="s">
        <v>13</v>
      </c>
      <c r="L10" s="2" t="s">
        <v>5</v>
      </c>
      <c r="M10" s="2" t="s">
        <v>6</v>
      </c>
      <c r="N10" s="2" t="s">
        <v>4</v>
      </c>
      <c r="O10" s="8"/>
    </row>
    <row r="11" spans="1:15" x14ac:dyDescent="0.2">
      <c r="A11" s="4" t="s">
        <v>2</v>
      </c>
      <c r="B11" s="4" t="s">
        <v>3</v>
      </c>
      <c r="C11" s="5">
        <v>1</v>
      </c>
      <c r="D11" s="5">
        <v>2</v>
      </c>
      <c r="E11" s="5">
        <v>1</v>
      </c>
      <c r="F11" s="4">
        <v>1</v>
      </c>
      <c r="G11" s="4">
        <v>0</v>
      </c>
      <c r="H11">
        <f t="shared" si="0"/>
        <v>2</v>
      </c>
      <c r="J11" t="s">
        <v>2</v>
      </c>
      <c r="K11" s="4" t="str">
        <f>CONCATENATE(J2,"_",K2)</f>
        <v>A. alpina_1_39</v>
      </c>
      <c r="L11">
        <f>L2/$O2</f>
        <v>0.21428571428571427</v>
      </c>
      <c r="M11">
        <f t="shared" ref="M11:N11" si="2">M2/$O2</f>
        <v>0.35714285714285715</v>
      </c>
      <c r="N11">
        <f t="shared" si="2"/>
        <v>0.42857142857142855</v>
      </c>
    </row>
    <row r="12" spans="1:15" x14ac:dyDescent="0.2">
      <c r="A12" s="4" t="s">
        <v>2</v>
      </c>
      <c r="B12" s="4" t="s">
        <v>3</v>
      </c>
      <c r="C12" s="5">
        <v>2</v>
      </c>
      <c r="D12" s="5">
        <v>2</v>
      </c>
      <c r="E12" s="5">
        <v>1</v>
      </c>
      <c r="F12" s="5">
        <v>1</v>
      </c>
      <c r="G12" s="4">
        <v>0</v>
      </c>
      <c r="H12">
        <f t="shared" si="0"/>
        <v>2</v>
      </c>
      <c r="J12" t="s">
        <v>2</v>
      </c>
      <c r="K12" s="4" t="str">
        <f t="shared" ref="K12" si="3">CONCATENATE(J3,"_",K3)</f>
        <v>A. alpina_1_40</v>
      </c>
      <c r="L12">
        <f t="shared" ref="L12:N12" si="4">L3/$O3</f>
        <v>0.2608695652173913</v>
      </c>
      <c r="M12">
        <f t="shared" si="4"/>
        <v>0.47826086956521741</v>
      </c>
      <c r="N12">
        <f t="shared" si="4"/>
        <v>0.2608695652173913</v>
      </c>
    </row>
    <row r="13" spans="1:15" x14ac:dyDescent="0.2">
      <c r="A13" s="4" t="s">
        <v>2</v>
      </c>
      <c r="B13" s="4" t="s">
        <v>3</v>
      </c>
      <c r="C13" s="5">
        <v>3</v>
      </c>
      <c r="D13" s="5">
        <v>2</v>
      </c>
      <c r="E13" s="5">
        <v>1</v>
      </c>
      <c r="F13" s="5">
        <v>0</v>
      </c>
      <c r="G13" s="4">
        <v>0</v>
      </c>
      <c r="H13">
        <f t="shared" si="0"/>
        <v>1</v>
      </c>
      <c r="J13" s="5" t="s">
        <v>10</v>
      </c>
      <c r="K13" s="4" t="str">
        <f>CONCATENATE(J6,"_",K6)</f>
        <v>M. verna_1_39</v>
      </c>
      <c r="L13">
        <f>L6/$O6</f>
        <v>0.33333333333333331</v>
      </c>
      <c r="M13">
        <f t="shared" ref="L13:N13" si="5">M6/$O6</f>
        <v>0.53333333333333333</v>
      </c>
      <c r="N13">
        <f t="shared" si="5"/>
        <v>0.13333333333333333</v>
      </c>
    </row>
    <row r="14" spans="1:15" x14ac:dyDescent="0.2">
      <c r="A14" s="4" t="s">
        <v>2</v>
      </c>
      <c r="B14" s="4" t="s">
        <v>3</v>
      </c>
      <c r="C14" s="5">
        <v>4</v>
      </c>
      <c r="D14" s="5">
        <v>2</v>
      </c>
      <c r="E14" s="5">
        <v>1</v>
      </c>
      <c r="F14" s="5">
        <v>0</v>
      </c>
      <c r="G14" s="4">
        <v>0</v>
      </c>
      <c r="H14">
        <f t="shared" si="0"/>
        <v>1</v>
      </c>
      <c r="J14" s="5" t="s">
        <v>10</v>
      </c>
      <c r="K14" s="4" t="str">
        <f>CONCATENATE(J7,"_",K7)</f>
        <v>M. verna_1_40</v>
      </c>
      <c r="L14">
        <f>L7/$O7</f>
        <v>0.53846153846153844</v>
      </c>
      <c r="M14">
        <f t="shared" ref="L14:N14" si="6">M7/$O7</f>
        <v>0.30769230769230771</v>
      </c>
      <c r="N14">
        <f t="shared" si="6"/>
        <v>0.15384615384615385</v>
      </c>
    </row>
    <row r="15" spans="1:15" x14ac:dyDescent="0.2">
      <c r="A15" s="6" t="s">
        <v>2</v>
      </c>
      <c r="B15" s="6" t="s">
        <v>3</v>
      </c>
      <c r="C15" s="7">
        <v>5</v>
      </c>
      <c r="D15" s="7">
        <v>2</v>
      </c>
      <c r="E15" s="7">
        <v>1</v>
      </c>
      <c r="F15" s="6">
        <v>0</v>
      </c>
      <c r="G15" s="6">
        <v>0</v>
      </c>
      <c r="H15" s="6">
        <f t="shared" si="0"/>
        <v>1</v>
      </c>
      <c r="J15" t="s">
        <v>9</v>
      </c>
      <c r="K15" t="s">
        <v>14</v>
      </c>
      <c r="L15">
        <v>0.41666666666666669</v>
      </c>
      <c r="M15">
        <v>0.45833333333333331</v>
      </c>
      <c r="N15">
        <v>0.125</v>
      </c>
    </row>
    <row r="16" spans="1:15" x14ac:dyDescent="0.2">
      <c r="A16" s="4" t="s">
        <v>2</v>
      </c>
      <c r="B16" s="5" t="s">
        <v>7</v>
      </c>
      <c r="C16" s="5">
        <v>55</v>
      </c>
      <c r="D16" s="4">
        <v>1</v>
      </c>
      <c r="E16" s="5">
        <v>1</v>
      </c>
      <c r="F16" s="5">
        <v>0</v>
      </c>
      <c r="G16" s="5">
        <v>0</v>
      </c>
      <c r="H16">
        <f t="shared" si="0"/>
        <v>1</v>
      </c>
      <c r="J16" t="s">
        <v>9</v>
      </c>
      <c r="K16" t="s">
        <v>15</v>
      </c>
      <c r="L16">
        <v>0.52631578947368418</v>
      </c>
      <c r="M16">
        <v>0.47368421052631576</v>
      </c>
      <c r="N16">
        <v>0</v>
      </c>
    </row>
    <row r="17" spans="1:14" x14ac:dyDescent="0.2">
      <c r="A17" s="4" t="s">
        <v>2</v>
      </c>
      <c r="B17" s="5" t="s">
        <v>7</v>
      </c>
      <c r="C17" s="5">
        <v>56</v>
      </c>
      <c r="D17" s="4">
        <v>1</v>
      </c>
      <c r="E17" s="4">
        <v>1</v>
      </c>
      <c r="F17" s="4">
        <v>1</v>
      </c>
      <c r="G17" s="4">
        <v>1</v>
      </c>
      <c r="H17">
        <f t="shared" si="0"/>
        <v>3</v>
      </c>
    </row>
    <row r="18" spans="1:14" x14ac:dyDescent="0.2">
      <c r="A18" s="4" t="s">
        <v>2</v>
      </c>
      <c r="B18" s="5" t="s">
        <v>7</v>
      </c>
      <c r="C18" s="5">
        <v>60</v>
      </c>
      <c r="D18" s="4">
        <v>1</v>
      </c>
      <c r="E18" s="4">
        <v>1</v>
      </c>
      <c r="F18" s="4">
        <v>1</v>
      </c>
      <c r="G18" s="4">
        <v>0</v>
      </c>
      <c r="H18">
        <f t="shared" si="0"/>
        <v>2</v>
      </c>
    </row>
    <row r="19" spans="1:14" x14ac:dyDescent="0.2">
      <c r="A19" s="4" t="s">
        <v>2</v>
      </c>
      <c r="B19" s="5" t="s">
        <v>7</v>
      </c>
      <c r="C19" s="5">
        <v>61</v>
      </c>
      <c r="D19" s="4">
        <v>1</v>
      </c>
      <c r="E19" s="4">
        <v>1</v>
      </c>
      <c r="F19" s="4">
        <v>1</v>
      </c>
      <c r="G19" s="4">
        <v>1</v>
      </c>
      <c r="H19">
        <f t="shared" si="0"/>
        <v>3</v>
      </c>
    </row>
    <row r="20" spans="1:14" x14ac:dyDescent="0.2">
      <c r="A20" s="4" t="s">
        <v>2</v>
      </c>
      <c r="B20" s="5" t="s">
        <v>7</v>
      </c>
      <c r="C20" s="5">
        <v>105</v>
      </c>
      <c r="D20" s="4">
        <v>1</v>
      </c>
      <c r="E20" s="4">
        <v>1</v>
      </c>
      <c r="F20" s="4">
        <v>0</v>
      </c>
      <c r="G20" s="4">
        <v>0</v>
      </c>
      <c r="H20">
        <f t="shared" si="0"/>
        <v>1</v>
      </c>
    </row>
    <row r="21" spans="1:14" x14ac:dyDescent="0.2">
      <c r="A21" s="4" t="s">
        <v>2</v>
      </c>
      <c r="B21" s="5" t="s">
        <v>7</v>
      </c>
      <c r="C21" s="5">
        <v>410</v>
      </c>
      <c r="D21" s="4">
        <v>1</v>
      </c>
      <c r="E21" s="4">
        <v>1</v>
      </c>
      <c r="F21" s="4">
        <v>0</v>
      </c>
      <c r="G21" s="4">
        <v>0</v>
      </c>
      <c r="H21">
        <f t="shared" si="0"/>
        <v>1</v>
      </c>
      <c r="N21" s="1" t="s">
        <v>18</v>
      </c>
    </row>
    <row r="22" spans="1:14" x14ac:dyDescent="0.2">
      <c r="A22" s="4" t="s">
        <v>2</v>
      </c>
      <c r="B22" s="5" t="s">
        <v>7</v>
      </c>
      <c r="C22" s="5">
        <v>414</v>
      </c>
      <c r="D22" s="4">
        <v>1</v>
      </c>
      <c r="E22" s="4">
        <v>1</v>
      </c>
      <c r="F22" s="4">
        <v>0</v>
      </c>
      <c r="G22" s="4">
        <v>0</v>
      </c>
      <c r="H22">
        <f t="shared" si="0"/>
        <v>1</v>
      </c>
      <c r="N22" s="1" t="s">
        <v>19</v>
      </c>
    </row>
    <row r="23" spans="1:14" x14ac:dyDescent="0.2">
      <c r="A23" s="4" t="s">
        <v>2</v>
      </c>
      <c r="B23" s="5" t="s">
        <v>7</v>
      </c>
      <c r="C23" s="5">
        <v>415</v>
      </c>
      <c r="D23" s="4">
        <v>1</v>
      </c>
      <c r="E23" s="4">
        <v>1</v>
      </c>
      <c r="F23" s="4">
        <v>1</v>
      </c>
      <c r="G23" s="4">
        <v>0</v>
      </c>
      <c r="H23">
        <f t="shared" si="0"/>
        <v>2</v>
      </c>
      <c r="N23" s="1" t="s">
        <v>20</v>
      </c>
    </row>
    <row r="24" spans="1:14" x14ac:dyDescent="0.2">
      <c r="A24" s="4" t="s">
        <v>2</v>
      </c>
      <c r="B24" s="4" t="s">
        <v>7</v>
      </c>
      <c r="C24" s="5">
        <v>1</v>
      </c>
      <c r="D24" s="5">
        <v>2</v>
      </c>
      <c r="E24" s="5">
        <v>1</v>
      </c>
      <c r="F24" s="5">
        <v>1</v>
      </c>
      <c r="G24" s="5">
        <v>1</v>
      </c>
      <c r="H24">
        <f t="shared" si="0"/>
        <v>3</v>
      </c>
    </row>
    <row r="25" spans="1:14" x14ac:dyDescent="0.2">
      <c r="A25" s="4" t="s">
        <v>2</v>
      </c>
      <c r="B25" s="4" t="s">
        <v>7</v>
      </c>
      <c r="C25" s="5">
        <v>2</v>
      </c>
      <c r="D25" s="5">
        <v>2</v>
      </c>
      <c r="E25" s="5">
        <v>1</v>
      </c>
      <c r="F25" s="5">
        <v>1</v>
      </c>
      <c r="G25" s="5">
        <v>1</v>
      </c>
      <c r="H25">
        <f t="shared" si="0"/>
        <v>3</v>
      </c>
    </row>
    <row r="26" spans="1:14" x14ac:dyDescent="0.2">
      <c r="A26" s="4" t="s">
        <v>2</v>
      </c>
      <c r="B26" s="4" t="s">
        <v>7</v>
      </c>
      <c r="C26" s="5">
        <v>3</v>
      </c>
      <c r="D26" s="5">
        <v>2</v>
      </c>
      <c r="E26" s="5">
        <v>1</v>
      </c>
      <c r="F26" s="5">
        <v>1</v>
      </c>
      <c r="G26" s="5">
        <v>1</v>
      </c>
      <c r="H26">
        <f t="shared" si="0"/>
        <v>3</v>
      </c>
    </row>
    <row r="27" spans="1:14" x14ac:dyDescent="0.2">
      <c r="A27" s="4" t="s">
        <v>2</v>
      </c>
      <c r="B27" s="4" t="s">
        <v>7</v>
      </c>
      <c r="C27" s="5">
        <v>4</v>
      </c>
      <c r="D27" s="5">
        <v>2</v>
      </c>
      <c r="E27" s="5">
        <v>1</v>
      </c>
      <c r="F27" s="5">
        <v>1</v>
      </c>
      <c r="G27" s="5">
        <v>0</v>
      </c>
      <c r="H27">
        <f t="shared" si="0"/>
        <v>2</v>
      </c>
    </row>
    <row r="28" spans="1:14" x14ac:dyDescent="0.2">
      <c r="A28" s="4" t="s">
        <v>2</v>
      </c>
      <c r="B28" s="4" t="s">
        <v>7</v>
      </c>
      <c r="C28" s="5">
        <v>5</v>
      </c>
      <c r="D28" s="5">
        <v>2</v>
      </c>
      <c r="E28" s="5">
        <v>1</v>
      </c>
      <c r="F28" s="4">
        <v>1</v>
      </c>
      <c r="G28" s="4">
        <v>0</v>
      </c>
      <c r="H28">
        <f t="shared" si="0"/>
        <v>2</v>
      </c>
    </row>
    <row r="29" spans="1:14" x14ac:dyDescent="0.2">
      <c r="A29" s="4" t="s">
        <v>2</v>
      </c>
      <c r="B29" s="4" t="s">
        <v>7</v>
      </c>
      <c r="C29" s="5">
        <v>0</v>
      </c>
      <c r="D29" s="5">
        <v>2</v>
      </c>
      <c r="E29" s="5">
        <v>1</v>
      </c>
      <c r="F29" s="5">
        <v>1</v>
      </c>
      <c r="G29" s="5">
        <v>0</v>
      </c>
      <c r="H29">
        <f t="shared" si="0"/>
        <v>2</v>
      </c>
    </row>
    <row r="30" spans="1:14" x14ac:dyDescent="0.2">
      <c r="A30" s="4" t="s">
        <v>2</v>
      </c>
      <c r="B30" s="4" t="s">
        <v>7</v>
      </c>
      <c r="C30" s="5">
        <v>1</v>
      </c>
      <c r="D30" s="5">
        <v>2</v>
      </c>
      <c r="E30" s="5">
        <v>1</v>
      </c>
      <c r="F30" s="5">
        <v>0</v>
      </c>
      <c r="G30" s="5">
        <v>0</v>
      </c>
      <c r="H30">
        <f t="shared" si="0"/>
        <v>1</v>
      </c>
    </row>
    <row r="31" spans="1:14" x14ac:dyDescent="0.2">
      <c r="A31" s="4" t="s">
        <v>2</v>
      </c>
      <c r="B31" s="4" t="s">
        <v>7</v>
      </c>
      <c r="C31" s="5">
        <v>3</v>
      </c>
      <c r="D31" s="5">
        <v>2</v>
      </c>
      <c r="E31" s="5">
        <v>1</v>
      </c>
      <c r="F31" s="5">
        <v>0</v>
      </c>
      <c r="G31" s="5">
        <v>0</v>
      </c>
      <c r="H31">
        <f t="shared" si="0"/>
        <v>1</v>
      </c>
    </row>
    <row r="32" spans="1:14" x14ac:dyDescent="0.2">
      <c r="A32" s="4" t="s">
        <v>2</v>
      </c>
      <c r="B32" s="4" t="s">
        <v>7</v>
      </c>
      <c r="C32" s="5">
        <v>4</v>
      </c>
      <c r="D32" s="5">
        <v>2</v>
      </c>
      <c r="E32" s="5">
        <v>1</v>
      </c>
      <c r="F32" s="5">
        <v>1</v>
      </c>
      <c r="G32" s="5">
        <v>0</v>
      </c>
      <c r="H32">
        <f t="shared" si="0"/>
        <v>2</v>
      </c>
    </row>
    <row r="33" spans="1:8" x14ac:dyDescent="0.2">
      <c r="A33" s="4" t="s">
        <v>2</v>
      </c>
      <c r="B33" s="4" t="s">
        <v>7</v>
      </c>
      <c r="C33" s="5">
        <v>5</v>
      </c>
      <c r="D33" s="5">
        <v>2</v>
      </c>
      <c r="E33" s="5">
        <v>1</v>
      </c>
      <c r="F33" s="5">
        <v>1</v>
      </c>
      <c r="G33" s="5">
        <v>0</v>
      </c>
      <c r="H33">
        <f t="shared" si="0"/>
        <v>2</v>
      </c>
    </row>
    <row r="34" spans="1:8" x14ac:dyDescent="0.2">
      <c r="A34" s="4" t="s">
        <v>2</v>
      </c>
      <c r="B34" s="4" t="s">
        <v>7</v>
      </c>
      <c r="C34" s="5">
        <v>6</v>
      </c>
      <c r="D34" s="5">
        <v>2</v>
      </c>
      <c r="E34" s="5">
        <v>1</v>
      </c>
      <c r="F34" s="5">
        <v>1</v>
      </c>
      <c r="G34" s="5">
        <v>0</v>
      </c>
      <c r="H34">
        <f t="shared" si="0"/>
        <v>2</v>
      </c>
    </row>
    <row r="35" spans="1:8" x14ac:dyDescent="0.2">
      <c r="A35" s="4" t="s">
        <v>2</v>
      </c>
      <c r="B35" s="4" t="s">
        <v>7</v>
      </c>
      <c r="C35" s="5">
        <v>7</v>
      </c>
      <c r="D35" s="5">
        <v>2</v>
      </c>
      <c r="E35" s="5">
        <v>1</v>
      </c>
      <c r="F35" s="5">
        <v>1</v>
      </c>
      <c r="G35" s="5">
        <v>1</v>
      </c>
      <c r="H35">
        <f t="shared" si="0"/>
        <v>3</v>
      </c>
    </row>
    <row r="36" spans="1:8" x14ac:dyDescent="0.2">
      <c r="A36" s="4" t="s">
        <v>2</v>
      </c>
      <c r="B36" s="4" t="s">
        <v>7</v>
      </c>
      <c r="C36" s="5">
        <v>8</v>
      </c>
      <c r="D36" s="5">
        <v>2</v>
      </c>
      <c r="E36" s="5">
        <v>1</v>
      </c>
      <c r="F36" s="5">
        <v>1</v>
      </c>
      <c r="G36" s="5">
        <v>0</v>
      </c>
      <c r="H36">
        <f t="shared" si="0"/>
        <v>2</v>
      </c>
    </row>
    <row r="37" spans="1:8" x14ac:dyDescent="0.2">
      <c r="A37" s="4" t="s">
        <v>2</v>
      </c>
      <c r="B37" s="4" t="s">
        <v>7</v>
      </c>
      <c r="C37" s="5">
        <v>11</v>
      </c>
      <c r="D37" s="5">
        <v>2</v>
      </c>
      <c r="E37" s="5">
        <v>1</v>
      </c>
      <c r="F37" s="5">
        <v>1</v>
      </c>
      <c r="G37" s="5">
        <v>0</v>
      </c>
      <c r="H37">
        <f t="shared" si="0"/>
        <v>2</v>
      </c>
    </row>
    <row r="38" spans="1:8" x14ac:dyDescent="0.2">
      <c r="A38" s="6" t="s">
        <v>2</v>
      </c>
      <c r="B38" s="6" t="s">
        <v>7</v>
      </c>
      <c r="C38" s="7">
        <v>12</v>
      </c>
      <c r="D38" s="7">
        <v>2</v>
      </c>
      <c r="E38" s="7">
        <v>1</v>
      </c>
      <c r="F38" s="6">
        <v>1</v>
      </c>
      <c r="G38" s="6">
        <v>0</v>
      </c>
      <c r="H38" s="6">
        <f t="shared" si="0"/>
        <v>2</v>
      </c>
    </row>
    <row r="39" spans="1:8" x14ac:dyDescent="0.2">
      <c r="A39" s="5" t="s">
        <v>9</v>
      </c>
      <c r="B39" s="4" t="s">
        <v>3</v>
      </c>
      <c r="C39" s="5">
        <v>1138</v>
      </c>
      <c r="D39" s="4">
        <v>1</v>
      </c>
      <c r="E39" s="4">
        <v>1</v>
      </c>
      <c r="F39" s="4">
        <v>1</v>
      </c>
      <c r="G39" s="4">
        <v>1</v>
      </c>
      <c r="H39">
        <f t="shared" si="0"/>
        <v>3</v>
      </c>
    </row>
    <row r="40" spans="1:8" x14ac:dyDescent="0.2">
      <c r="A40" s="5" t="s">
        <v>9</v>
      </c>
      <c r="B40" s="4" t="s">
        <v>3</v>
      </c>
      <c r="C40" s="5">
        <v>68</v>
      </c>
      <c r="D40" s="4">
        <v>1</v>
      </c>
      <c r="E40" s="4">
        <v>1</v>
      </c>
      <c r="F40" s="4">
        <v>0</v>
      </c>
      <c r="G40" s="4">
        <v>0</v>
      </c>
      <c r="H40">
        <f t="shared" si="0"/>
        <v>1</v>
      </c>
    </row>
    <row r="41" spans="1:8" x14ac:dyDescent="0.2">
      <c r="A41" s="5" t="s">
        <v>9</v>
      </c>
      <c r="B41" s="4" t="s">
        <v>3</v>
      </c>
      <c r="C41" s="5">
        <v>70</v>
      </c>
      <c r="D41" s="4">
        <v>1</v>
      </c>
      <c r="E41" s="4">
        <v>1</v>
      </c>
      <c r="F41" s="4">
        <v>1</v>
      </c>
      <c r="G41" s="4">
        <v>0</v>
      </c>
      <c r="H41">
        <f t="shared" si="0"/>
        <v>2</v>
      </c>
    </row>
    <row r="42" spans="1:8" x14ac:dyDescent="0.2">
      <c r="A42" s="5" t="s">
        <v>9</v>
      </c>
      <c r="B42" s="4" t="s">
        <v>3</v>
      </c>
      <c r="C42" s="5">
        <v>71</v>
      </c>
      <c r="D42" s="4">
        <v>1</v>
      </c>
      <c r="E42" s="4">
        <v>1</v>
      </c>
      <c r="F42" s="4">
        <v>1</v>
      </c>
      <c r="G42" s="4">
        <v>1</v>
      </c>
      <c r="H42">
        <f t="shared" si="0"/>
        <v>3</v>
      </c>
    </row>
    <row r="43" spans="1:8" x14ac:dyDescent="0.2">
      <c r="A43" s="5" t="s">
        <v>9</v>
      </c>
      <c r="B43" s="4" t="s">
        <v>3</v>
      </c>
      <c r="C43" s="5">
        <v>72</v>
      </c>
      <c r="D43" s="4">
        <v>1</v>
      </c>
      <c r="E43" s="4">
        <v>1</v>
      </c>
      <c r="F43" s="4">
        <v>1</v>
      </c>
      <c r="G43" s="4">
        <v>0</v>
      </c>
      <c r="H43">
        <f t="shared" si="0"/>
        <v>2</v>
      </c>
    </row>
    <row r="44" spans="1:8" x14ac:dyDescent="0.2">
      <c r="A44" s="5" t="s">
        <v>9</v>
      </c>
      <c r="B44" s="4" t="s">
        <v>3</v>
      </c>
      <c r="C44" s="5">
        <v>102</v>
      </c>
      <c r="D44" s="4">
        <v>1</v>
      </c>
      <c r="E44" s="4">
        <v>1</v>
      </c>
      <c r="F44" s="4">
        <v>1</v>
      </c>
      <c r="G44" s="4">
        <v>0</v>
      </c>
      <c r="H44">
        <f t="shared" si="0"/>
        <v>2</v>
      </c>
    </row>
    <row r="45" spans="1:8" x14ac:dyDescent="0.2">
      <c r="A45" s="5" t="s">
        <v>9</v>
      </c>
      <c r="B45" s="4" t="s">
        <v>3</v>
      </c>
      <c r="C45" s="5">
        <v>103</v>
      </c>
      <c r="D45" s="4">
        <v>1</v>
      </c>
      <c r="E45" s="4">
        <v>1</v>
      </c>
      <c r="F45" s="4">
        <v>1</v>
      </c>
      <c r="G45" s="4">
        <v>1</v>
      </c>
      <c r="H45">
        <f t="shared" si="0"/>
        <v>3</v>
      </c>
    </row>
    <row r="46" spans="1:8" x14ac:dyDescent="0.2">
      <c r="A46" s="5" t="s">
        <v>9</v>
      </c>
      <c r="B46" s="4" t="s">
        <v>3</v>
      </c>
      <c r="C46" s="5">
        <v>104</v>
      </c>
      <c r="D46" s="4">
        <v>1</v>
      </c>
      <c r="E46" s="4">
        <v>1</v>
      </c>
      <c r="F46" s="4">
        <v>1</v>
      </c>
      <c r="G46" s="4">
        <v>0</v>
      </c>
      <c r="H46">
        <f t="shared" si="0"/>
        <v>2</v>
      </c>
    </row>
    <row r="47" spans="1:8" x14ac:dyDescent="0.2">
      <c r="A47" s="5" t="s">
        <v>9</v>
      </c>
      <c r="B47" s="4" t="s">
        <v>3</v>
      </c>
      <c r="C47" s="5">
        <v>370</v>
      </c>
      <c r="D47" s="4">
        <v>1</v>
      </c>
      <c r="E47" s="4">
        <v>1</v>
      </c>
      <c r="F47" s="4">
        <v>0</v>
      </c>
      <c r="G47" s="4">
        <v>0</v>
      </c>
      <c r="H47">
        <f t="shared" si="0"/>
        <v>1</v>
      </c>
    </row>
    <row r="48" spans="1:8" x14ac:dyDescent="0.2">
      <c r="A48" s="5" t="s">
        <v>9</v>
      </c>
      <c r="B48" s="4" t="s">
        <v>3</v>
      </c>
      <c r="C48" s="5">
        <v>371</v>
      </c>
      <c r="D48" s="4">
        <v>1</v>
      </c>
      <c r="E48" s="4">
        <v>1</v>
      </c>
      <c r="F48" s="4">
        <v>1</v>
      </c>
      <c r="G48" s="4">
        <v>0</v>
      </c>
      <c r="H48">
        <f t="shared" si="0"/>
        <v>2</v>
      </c>
    </row>
    <row r="49" spans="1:8" x14ac:dyDescent="0.2">
      <c r="A49" s="5" t="s">
        <v>9</v>
      </c>
      <c r="B49" s="4" t="s">
        <v>3</v>
      </c>
      <c r="C49" s="5">
        <v>372</v>
      </c>
      <c r="D49" s="4">
        <v>1</v>
      </c>
      <c r="E49" s="4">
        <v>1</v>
      </c>
      <c r="F49" s="4">
        <v>1</v>
      </c>
      <c r="G49" s="4">
        <v>0</v>
      </c>
      <c r="H49">
        <f t="shared" si="0"/>
        <v>2</v>
      </c>
    </row>
    <row r="50" spans="1:8" x14ac:dyDescent="0.2">
      <c r="A50" s="5" t="s">
        <v>9</v>
      </c>
      <c r="B50" s="4" t="s">
        <v>3</v>
      </c>
      <c r="C50" s="5">
        <v>436</v>
      </c>
      <c r="D50" s="4">
        <v>1</v>
      </c>
      <c r="E50" s="4">
        <v>1</v>
      </c>
      <c r="F50" s="4">
        <v>0</v>
      </c>
      <c r="G50" s="4">
        <v>0</v>
      </c>
      <c r="H50">
        <f t="shared" si="0"/>
        <v>1</v>
      </c>
    </row>
    <row r="51" spans="1:8" x14ac:dyDescent="0.2">
      <c r="A51" s="5" t="s">
        <v>9</v>
      </c>
      <c r="B51" s="4" t="s">
        <v>3</v>
      </c>
      <c r="C51" s="5">
        <v>439</v>
      </c>
      <c r="D51" s="4">
        <v>1</v>
      </c>
      <c r="E51" s="4">
        <v>1</v>
      </c>
      <c r="F51" s="4">
        <v>0</v>
      </c>
      <c r="G51" s="4">
        <v>0</v>
      </c>
      <c r="H51">
        <f t="shared" si="0"/>
        <v>1</v>
      </c>
    </row>
    <row r="52" spans="1:8" x14ac:dyDescent="0.2">
      <c r="A52" s="5" t="s">
        <v>9</v>
      </c>
      <c r="B52" s="4" t="s">
        <v>3</v>
      </c>
      <c r="C52" s="5">
        <v>440</v>
      </c>
      <c r="D52" s="4">
        <v>1</v>
      </c>
      <c r="E52" s="4">
        <v>1</v>
      </c>
      <c r="F52" s="4">
        <v>0</v>
      </c>
      <c r="G52" s="4">
        <v>0</v>
      </c>
      <c r="H52">
        <f t="shared" si="0"/>
        <v>1</v>
      </c>
    </row>
    <row r="53" spans="1:8" x14ac:dyDescent="0.2">
      <c r="A53" s="5" t="s">
        <v>9</v>
      </c>
      <c r="B53" s="4" t="s">
        <v>3</v>
      </c>
      <c r="C53" s="5">
        <v>441</v>
      </c>
      <c r="D53" s="4">
        <v>1</v>
      </c>
      <c r="E53" s="4">
        <v>1</v>
      </c>
      <c r="F53" s="4">
        <v>0</v>
      </c>
      <c r="G53" s="4">
        <v>0</v>
      </c>
      <c r="H53">
        <f t="shared" si="0"/>
        <v>1</v>
      </c>
    </row>
    <row r="54" spans="1:8" x14ac:dyDescent="0.2">
      <c r="A54" s="5" t="s">
        <v>9</v>
      </c>
      <c r="B54" s="4" t="s">
        <v>3</v>
      </c>
      <c r="C54" s="5">
        <v>444</v>
      </c>
      <c r="D54" s="4">
        <v>1</v>
      </c>
      <c r="E54" s="4">
        <v>1</v>
      </c>
      <c r="F54" s="4">
        <v>1</v>
      </c>
      <c r="G54" s="4">
        <v>0</v>
      </c>
      <c r="H54">
        <f t="shared" si="0"/>
        <v>2</v>
      </c>
    </row>
    <row r="55" spans="1:8" x14ac:dyDescent="0.2">
      <c r="A55" s="5" t="s">
        <v>9</v>
      </c>
      <c r="B55" s="4" t="s">
        <v>3</v>
      </c>
      <c r="C55" s="5">
        <v>1</v>
      </c>
      <c r="D55" s="5">
        <v>2</v>
      </c>
      <c r="E55" s="5">
        <v>1</v>
      </c>
      <c r="F55" s="5">
        <v>0</v>
      </c>
      <c r="G55" s="4">
        <v>0</v>
      </c>
      <c r="H55">
        <f t="shared" si="0"/>
        <v>1</v>
      </c>
    </row>
    <row r="56" spans="1:8" x14ac:dyDescent="0.2">
      <c r="A56" s="5" t="s">
        <v>9</v>
      </c>
      <c r="B56" s="4" t="s">
        <v>3</v>
      </c>
      <c r="C56" s="5">
        <v>2</v>
      </c>
      <c r="D56" s="5">
        <v>2</v>
      </c>
      <c r="E56" s="5">
        <v>1</v>
      </c>
      <c r="F56" s="5">
        <v>0</v>
      </c>
      <c r="G56" s="4">
        <v>0</v>
      </c>
      <c r="H56">
        <f t="shared" si="0"/>
        <v>1</v>
      </c>
    </row>
    <row r="57" spans="1:8" x14ac:dyDescent="0.2">
      <c r="A57" s="5" t="s">
        <v>9</v>
      </c>
      <c r="B57" s="4" t="s">
        <v>3</v>
      </c>
      <c r="C57" s="5">
        <v>3</v>
      </c>
      <c r="D57" s="5">
        <v>2</v>
      </c>
      <c r="E57" s="5">
        <v>1</v>
      </c>
      <c r="F57" s="5">
        <v>0</v>
      </c>
      <c r="G57" s="4">
        <v>0</v>
      </c>
      <c r="H57">
        <f t="shared" si="0"/>
        <v>1</v>
      </c>
    </row>
    <row r="58" spans="1:8" x14ac:dyDescent="0.2">
      <c r="A58" s="5" t="s">
        <v>9</v>
      </c>
      <c r="B58" s="4" t="s">
        <v>3</v>
      </c>
      <c r="C58" s="5">
        <v>4</v>
      </c>
      <c r="D58" s="5">
        <v>2</v>
      </c>
      <c r="E58" s="5">
        <v>1</v>
      </c>
      <c r="F58" s="5">
        <v>0</v>
      </c>
      <c r="G58" s="4">
        <v>0</v>
      </c>
      <c r="H58">
        <f t="shared" si="0"/>
        <v>1</v>
      </c>
    </row>
    <row r="59" spans="1:8" x14ac:dyDescent="0.2">
      <c r="A59" s="5" t="s">
        <v>9</v>
      </c>
      <c r="B59" s="4" t="s">
        <v>3</v>
      </c>
      <c r="C59" s="5">
        <v>5</v>
      </c>
      <c r="D59" s="5">
        <v>2</v>
      </c>
      <c r="E59" s="5">
        <v>1</v>
      </c>
      <c r="F59" s="5">
        <v>1</v>
      </c>
      <c r="G59" s="4">
        <v>0</v>
      </c>
      <c r="H59">
        <f t="shared" si="0"/>
        <v>2</v>
      </c>
    </row>
    <row r="60" spans="1:8" x14ac:dyDescent="0.2">
      <c r="A60" s="5" t="s">
        <v>9</v>
      </c>
      <c r="B60" s="4" t="s">
        <v>3</v>
      </c>
      <c r="C60" s="5">
        <v>6</v>
      </c>
      <c r="D60" s="5">
        <v>2</v>
      </c>
      <c r="E60" s="5">
        <v>1</v>
      </c>
      <c r="F60" s="5">
        <v>1</v>
      </c>
      <c r="G60" s="4">
        <v>0</v>
      </c>
      <c r="H60">
        <f t="shared" si="0"/>
        <v>2</v>
      </c>
    </row>
    <row r="61" spans="1:8" x14ac:dyDescent="0.2">
      <c r="A61" s="5" t="s">
        <v>9</v>
      </c>
      <c r="B61" s="4" t="s">
        <v>3</v>
      </c>
      <c r="C61" s="5">
        <v>7</v>
      </c>
      <c r="D61" s="5">
        <v>2</v>
      </c>
      <c r="E61" s="5">
        <v>1</v>
      </c>
      <c r="F61" s="5">
        <v>1</v>
      </c>
      <c r="G61" s="4">
        <v>0</v>
      </c>
      <c r="H61" s="4">
        <f t="shared" si="0"/>
        <v>2</v>
      </c>
    </row>
    <row r="62" spans="1:8" x14ac:dyDescent="0.2">
      <c r="A62" s="7" t="s">
        <v>9</v>
      </c>
      <c r="B62" s="6" t="s">
        <v>3</v>
      </c>
      <c r="C62" s="7">
        <v>8</v>
      </c>
      <c r="D62" s="7">
        <v>2</v>
      </c>
      <c r="E62" s="7">
        <v>1</v>
      </c>
      <c r="F62" s="7">
        <v>1</v>
      </c>
      <c r="G62" s="6">
        <v>0</v>
      </c>
      <c r="H62" s="6">
        <f t="shared" si="0"/>
        <v>2</v>
      </c>
    </row>
    <row r="63" spans="1:8" x14ac:dyDescent="0.2">
      <c r="A63" s="5" t="s">
        <v>9</v>
      </c>
      <c r="B63" s="5" t="s">
        <v>7</v>
      </c>
      <c r="C63" s="5">
        <v>73</v>
      </c>
      <c r="D63" s="4">
        <v>1</v>
      </c>
      <c r="E63" s="5">
        <v>1</v>
      </c>
      <c r="F63" s="5">
        <v>1</v>
      </c>
      <c r="G63" s="5">
        <v>0</v>
      </c>
      <c r="H63">
        <f t="shared" si="0"/>
        <v>2</v>
      </c>
    </row>
    <row r="64" spans="1:8" x14ac:dyDescent="0.2">
      <c r="A64" s="5" t="s">
        <v>9</v>
      </c>
      <c r="B64" s="5" t="s">
        <v>7</v>
      </c>
      <c r="C64" s="5">
        <v>74</v>
      </c>
      <c r="D64" s="4">
        <v>1</v>
      </c>
      <c r="E64" s="5">
        <v>1</v>
      </c>
      <c r="F64" s="5">
        <v>1</v>
      </c>
      <c r="G64" s="5">
        <v>0</v>
      </c>
      <c r="H64">
        <f t="shared" si="0"/>
        <v>2</v>
      </c>
    </row>
    <row r="65" spans="1:8" x14ac:dyDescent="0.2">
      <c r="A65" s="5" t="s">
        <v>9</v>
      </c>
      <c r="B65" s="5" t="s">
        <v>7</v>
      </c>
      <c r="C65" s="5">
        <v>444</v>
      </c>
      <c r="D65" s="4">
        <v>1</v>
      </c>
      <c r="E65" s="5">
        <v>1</v>
      </c>
      <c r="F65" s="5">
        <v>1</v>
      </c>
      <c r="G65" s="5">
        <v>0</v>
      </c>
      <c r="H65">
        <f t="shared" si="0"/>
        <v>2</v>
      </c>
    </row>
    <row r="66" spans="1:8" x14ac:dyDescent="0.2">
      <c r="A66" s="5" t="s">
        <v>9</v>
      </c>
      <c r="B66" s="5" t="s">
        <v>7</v>
      </c>
      <c r="C66" s="5">
        <v>445</v>
      </c>
      <c r="D66" s="4">
        <v>1</v>
      </c>
      <c r="E66" s="5">
        <v>1</v>
      </c>
      <c r="F66" s="5">
        <v>0</v>
      </c>
      <c r="G66" s="5">
        <v>0</v>
      </c>
      <c r="H66">
        <f t="shared" si="0"/>
        <v>1</v>
      </c>
    </row>
    <row r="67" spans="1:8" x14ac:dyDescent="0.2">
      <c r="A67" s="5" t="s">
        <v>9</v>
      </c>
      <c r="B67" s="5" t="s">
        <v>7</v>
      </c>
      <c r="C67" s="5">
        <v>446</v>
      </c>
      <c r="D67" s="4">
        <v>1</v>
      </c>
      <c r="E67" s="5">
        <v>1</v>
      </c>
      <c r="F67" s="5">
        <v>0</v>
      </c>
      <c r="G67" s="5">
        <v>0</v>
      </c>
      <c r="H67">
        <f t="shared" ref="H67:H109" si="7">SUM(E67:G67)</f>
        <v>1</v>
      </c>
    </row>
    <row r="68" spans="1:8" x14ac:dyDescent="0.2">
      <c r="A68" s="5" t="s">
        <v>9</v>
      </c>
      <c r="B68" s="5" t="s">
        <v>7</v>
      </c>
      <c r="C68" s="5">
        <v>447</v>
      </c>
      <c r="D68" s="4">
        <v>1</v>
      </c>
      <c r="E68" s="5">
        <v>1</v>
      </c>
      <c r="F68" s="5">
        <v>0</v>
      </c>
      <c r="G68" s="5">
        <v>0</v>
      </c>
      <c r="H68">
        <f t="shared" si="7"/>
        <v>1</v>
      </c>
    </row>
    <row r="69" spans="1:8" x14ac:dyDescent="0.2">
      <c r="A69" s="5" t="s">
        <v>9</v>
      </c>
      <c r="B69" s="5" t="s">
        <v>7</v>
      </c>
      <c r="C69" s="5">
        <v>448</v>
      </c>
      <c r="D69" s="4">
        <v>1</v>
      </c>
      <c r="E69" s="5">
        <v>1</v>
      </c>
      <c r="F69" s="5">
        <v>0</v>
      </c>
      <c r="G69" s="5">
        <v>0</v>
      </c>
      <c r="H69">
        <f t="shared" si="7"/>
        <v>1</v>
      </c>
    </row>
    <row r="70" spans="1:8" x14ac:dyDescent="0.2">
      <c r="A70" s="5" t="s">
        <v>9</v>
      </c>
      <c r="B70" s="5" t="s">
        <v>7</v>
      </c>
      <c r="C70" s="5">
        <v>449</v>
      </c>
      <c r="D70" s="4">
        <v>1</v>
      </c>
      <c r="E70" s="5">
        <v>1</v>
      </c>
      <c r="F70" s="5">
        <v>0</v>
      </c>
      <c r="G70" s="5">
        <v>0</v>
      </c>
      <c r="H70">
        <f t="shared" si="7"/>
        <v>1</v>
      </c>
    </row>
    <row r="71" spans="1:8" x14ac:dyDescent="0.2">
      <c r="A71" s="5" t="s">
        <v>9</v>
      </c>
      <c r="B71" s="4" t="s">
        <v>7</v>
      </c>
      <c r="C71" s="5">
        <v>1</v>
      </c>
      <c r="D71" s="5">
        <v>2</v>
      </c>
      <c r="E71" s="5">
        <v>1</v>
      </c>
      <c r="F71" s="5">
        <v>1</v>
      </c>
      <c r="G71" s="5">
        <v>0</v>
      </c>
      <c r="H71">
        <f t="shared" si="7"/>
        <v>2</v>
      </c>
    </row>
    <row r="72" spans="1:8" x14ac:dyDescent="0.2">
      <c r="A72" s="5" t="s">
        <v>9</v>
      </c>
      <c r="B72" s="4" t="s">
        <v>7</v>
      </c>
      <c r="C72" s="5">
        <v>2</v>
      </c>
      <c r="D72" s="5">
        <v>2</v>
      </c>
      <c r="E72" s="5">
        <v>1</v>
      </c>
      <c r="F72" s="5">
        <v>0</v>
      </c>
      <c r="G72" s="5">
        <v>0</v>
      </c>
      <c r="H72">
        <f t="shared" si="7"/>
        <v>1</v>
      </c>
    </row>
    <row r="73" spans="1:8" x14ac:dyDescent="0.2">
      <c r="A73" s="5" t="s">
        <v>9</v>
      </c>
      <c r="B73" s="4" t="s">
        <v>7</v>
      </c>
      <c r="C73" s="5">
        <v>4</v>
      </c>
      <c r="D73" s="5">
        <v>2</v>
      </c>
      <c r="E73" s="5">
        <v>1</v>
      </c>
      <c r="F73" s="5">
        <v>0</v>
      </c>
      <c r="G73" s="5">
        <v>0</v>
      </c>
      <c r="H73">
        <f t="shared" si="7"/>
        <v>1</v>
      </c>
    </row>
    <row r="74" spans="1:8" x14ac:dyDescent="0.2">
      <c r="A74" s="5" t="s">
        <v>9</v>
      </c>
      <c r="B74" s="4" t="s">
        <v>7</v>
      </c>
      <c r="C74" s="5">
        <v>6</v>
      </c>
      <c r="D74" s="5">
        <v>2</v>
      </c>
      <c r="E74" s="5">
        <v>1</v>
      </c>
      <c r="F74" s="5">
        <v>0</v>
      </c>
      <c r="G74" s="5">
        <v>0</v>
      </c>
      <c r="H74">
        <f t="shared" si="7"/>
        <v>1</v>
      </c>
    </row>
    <row r="75" spans="1:8" x14ac:dyDescent="0.2">
      <c r="A75" s="5" t="s">
        <v>9</v>
      </c>
      <c r="B75" s="4" t="s">
        <v>7</v>
      </c>
      <c r="C75" s="5">
        <v>7</v>
      </c>
      <c r="D75" s="5">
        <v>2</v>
      </c>
      <c r="E75" s="5">
        <v>1</v>
      </c>
      <c r="F75" s="5">
        <v>0</v>
      </c>
      <c r="G75" s="5">
        <v>0</v>
      </c>
      <c r="H75">
        <f t="shared" si="7"/>
        <v>1</v>
      </c>
    </row>
    <row r="76" spans="1:8" x14ac:dyDescent="0.2">
      <c r="A76" s="5" t="s">
        <v>9</v>
      </c>
      <c r="B76" s="4" t="s">
        <v>7</v>
      </c>
      <c r="C76" s="5">
        <v>8</v>
      </c>
      <c r="D76" s="5">
        <v>2</v>
      </c>
      <c r="E76" s="5">
        <v>1</v>
      </c>
      <c r="F76" s="5">
        <v>0</v>
      </c>
      <c r="G76" s="5">
        <v>0</v>
      </c>
      <c r="H76">
        <f t="shared" si="7"/>
        <v>1</v>
      </c>
    </row>
    <row r="77" spans="1:8" x14ac:dyDescent="0.2">
      <c r="A77" s="5" t="s">
        <v>9</v>
      </c>
      <c r="B77" s="4" t="s">
        <v>7</v>
      </c>
      <c r="C77" s="5">
        <v>9</v>
      </c>
      <c r="D77" s="5">
        <v>2</v>
      </c>
      <c r="E77" s="5">
        <v>1</v>
      </c>
      <c r="F77" s="5">
        <v>1</v>
      </c>
      <c r="G77" s="5">
        <v>0</v>
      </c>
      <c r="H77">
        <f t="shared" si="7"/>
        <v>2</v>
      </c>
    </row>
    <row r="78" spans="1:8" x14ac:dyDescent="0.2">
      <c r="A78" s="5" t="s">
        <v>9</v>
      </c>
      <c r="B78" s="4" t="s">
        <v>7</v>
      </c>
      <c r="C78" s="5">
        <v>10</v>
      </c>
      <c r="D78" s="5">
        <v>2</v>
      </c>
      <c r="E78" s="5">
        <v>1</v>
      </c>
      <c r="F78" s="5">
        <v>1</v>
      </c>
      <c r="G78" s="5">
        <v>0</v>
      </c>
      <c r="H78">
        <f t="shared" si="7"/>
        <v>2</v>
      </c>
    </row>
    <row r="79" spans="1:8" x14ac:dyDescent="0.2">
      <c r="A79" s="5" t="s">
        <v>9</v>
      </c>
      <c r="B79" s="4" t="s">
        <v>7</v>
      </c>
      <c r="C79" s="5">
        <v>1</v>
      </c>
      <c r="D79" s="5">
        <v>2</v>
      </c>
      <c r="E79" s="5">
        <v>1</v>
      </c>
      <c r="F79" s="5">
        <v>1</v>
      </c>
      <c r="G79" s="5">
        <v>0</v>
      </c>
      <c r="H79">
        <f t="shared" si="7"/>
        <v>2</v>
      </c>
    </row>
    <row r="80" spans="1:8" x14ac:dyDescent="0.2">
      <c r="A80" s="5" t="s">
        <v>9</v>
      </c>
      <c r="B80" s="4" t="s">
        <v>7</v>
      </c>
      <c r="C80" s="5">
        <v>2</v>
      </c>
      <c r="D80" s="5">
        <v>2</v>
      </c>
      <c r="E80" s="5">
        <v>1</v>
      </c>
      <c r="F80" s="5">
        <v>1</v>
      </c>
      <c r="G80" s="5">
        <v>0</v>
      </c>
      <c r="H80">
        <f t="shared" si="7"/>
        <v>2</v>
      </c>
    </row>
    <row r="81" spans="1:8" x14ac:dyDescent="0.2">
      <c r="A81" s="7" t="s">
        <v>9</v>
      </c>
      <c r="B81" s="6" t="s">
        <v>7</v>
      </c>
      <c r="C81" s="7">
        <v>3</v>
      </c>
      <c r="D81" s="7">
        <v>2</v>
      </c>
      <c r="E81" s="7">
        <v>1</v>
      </c>
      <c r="F81" s="7">
        <v>1</v>
      </c>
      <c r="G81" s="7">
        <v>0</v>
      </c>
      <c r="H81" s="6">
        <f t="shared" si="7"/>
        <v>2</v>
      </c>
    </row>
    <row r="82" spans="1:8" x14ac:dyDescent="0.2">
      <c r="A82" s="5" t="s">
        <v>10</v>
      </c>
      <c r="B82" s="4" t="s">
        <v>3</v>
      </c>
      <c r="C82" s="5">
        <v>76</v>
      </c>
      <c r="D82" s="4">
        <v>1</v>
      </c>
      <c r="E82" s="5">
        <v>1</v>
      </c>
      <c r="F82" s="5">
        <v>0</v>
      </c>
      <c r="G82" s="5">
        <v>0</v>
      </c>
      <c r="H82">
        <f t="shared" si="7"/>
        <v>1</v>
      </c>
    </row>
    <row r="83" spans="1:8" x14ac:dyDescent="0.2">
      <c r="A83" s="5" t="s">
        <v>10</v>
      </c>
      <c r="B83" s="4" t="s">
        <v>3</v>
      </c>
      <c r="C83" s="5">
        <v>77</v>
      </c>
      <c r="D83" s="4">
        <v>1</v>
      </c>
      <c r="E83" s="5">
        <v>1</v>
      </c>
      <c r="F83" s="5">
        <v>1</v>
      </c>
      <c r="G83" s="5">
        <v>0</v>
      </c>
      <c r="H83">
        <f t="shared" si="7"/>
        <v>2</v>
      </c>
    </row>
    <row r="84" spans="1:8" x14ac:dyDescent="0.2">
      <c r="A84" s="5" t="s">
        <v>10</v>
      </c>
      <c r="B84" s="4" t="s">
        <v>3</v>
      </c>
      <c r="C84" s="5">
        <v>78</v>
      </c>
      <c r="D84" s="4">
        <v>1</v>
      </c>
      <c r="E84" s="5">
        <v>1</v>
      </c>
      <c r="F84" s="5">
        <v>1</v>
      </c>
      <c r="G84" s="5">
        <v>1</v>
      </c>
      <c r="H84">
        <f t="shared" si="7"/>
        <v>3</v>
      </c>
    </row>
    <row r="85" spans="1:8" x14ac:dyDescent="0.2">
      <c r="A85" s="5" t="s">
        <v>10</v>
      </c>
      <c r="B85" s="4" t="s">
        <v>3</v>
      </c>
      <c r="C85" s="5">
        <v>106</v>
      </c>
      <c r="D85" s="4">
        <v>1</v>
      </c>
      <c r="E85" s="5">
        <v>1</v>
      </c>
      <c r="F85" s="5">
        <v>1</v>
      </c>
      <c r="G85" s="5">
        <v>1</v>
      </c>
      <c r="H85">
        <f t="shared" si="7"/>
        <v>3</v>
      </c>
    </row>
    <row r="86" spans="1:8" x14ac:dyDescent="0.2">
      <c r="A86" s="5" t="s">
        <v>10</v>
      </c>
      <c r="B86" s="4" t="s">
        <v>3</v>
      </c>
      <c r="C86" s="5">
        <v>416</v>
      </c>
      <c r="D86" s="4">
        <v>1</v>
      </c>
      <c r="E86" s="5">
        <v>1</v>
      </c>
      <c r="F86" s="5">
        <v>1</v>
      </c>
      <c r="G86" s="5">
        <v>0</v>
      </c>
      <c r="H86">
        <f t="shared" si="7"/>
        <v>2</v>
      </c>
    </row>
    <row r="87" spans="1:8" x14ac:dyDescent="0.2">
      <c r="A87" s="5" t="s">
        <v>10</v>
      </c>
      <c r="B87" s="4" t="s">
        <v>3</v>
      </c>
      <c r="C87" s="5">
        <v>418</v>
      </c>
      <c r="D87" s="4">
        <v>1</v>
      </c>
      <c r="E87" s="5">
        <v>1</v>
      </c>
      <c r="F87" s="5">
        <v>1</v>
      </c>
      <c r="G87" s="5">
        <v>0</v>
      </c>
      <c r="H87">
        <f t="shared" si="7"/>
        <v>2</v>
      </c>
    </row>
    <row r="88" spans="1:8" x14ac:dyDescent="0.2">
      <c r="A88" s="5" t="s">
        <v>10</v>
      </c>
      <c r="B88" s="4" t="s">
        <v>3</v>
      </c>
      <c r="C88" s="5">
        <v>419</v>
      </c>
      <c r="D88" s="4">
        <v>1</v>
      </c>
      <c r="E88" s="5">
        <v>1</v>
      </c>
      <c r="F88" s="5">
        <v>1</v>
      </c>
      <c r="G88" s="5">
        <v>0</v>
      </c>
      <c r="H88">
        <f t="shared" si="7"/>
        <v>2</v>
      </c>
    </row>
    <row r="89" spans="1:8" x14ac:dyDescent="0.2">
      <c r="A89" s="5" t="s">
        <v>10</v>
      </c>
      <c r="B89" s="4" t="s">
        <v>3</v>
      </c>
      <c r="C89" s="5">
        <v>423</v>
      </c>
      <c r="D89" s="4">
        <v>1</v>
      </c>
      <c r="E89" s="5">
        <v>1</v>
      </c>
      <c r="F89" s="5">
        <v>1</v>
      </c>
      <c r="G89" s="5">
        <v>0</v>
      </c>
      <c r="H89">
        <f t="shared" si="7"/>
        <v>2</v>
      </c>
    </row>
    <row r="90" spans="1:8" x14ac:dyDescent="0.2">
      <c r="A90" s="5" t="s">
        <v>10</v>
      </c>
      <c r="B90" s="4" t="s">
        <v>3</v>
      </c>
      <c r="C90" s="5">
        <v>465</v>
      </c>
      <c r="D90" s="4">
        <v>1</v>
      </c>
      <c r="E90" s="5">
        <v>1</v>
      </c>
      <c r="F90" s="5">
        <v>1</v>
      </c>
      <c r="G90" s="5">
        <v>0</v>
      </c>
      <c r="H90">
        <f t="shared" si="7"/>
        <v>2</v>
      </c>
    </row>
    <row r="91" spans="1:8" x14ac:dyDescent="0.2">
      <c r="A91" s="5" t="s">
        <v>10</v>
      </c>
      <c r="B91" s="4" t="s">
        <v>3</v>
      </c>
      <c r="C91" s="5">
        <v>1</v>
      </c>
      <c r="D91" s="5">
        <v>2</v>
      </c>
      <c r="E91" s="5">
        <v>1</v>
      </c>
      <c r="F91" s="5">
        <v>0</v>
      </c>
      <c r="G91" s="5">
        <v>0</v>
      </c>
      <c r="H91">
        <f t="shared" si="7"/>
        <v>1</v>
      </c>
    </row>
    <row r="92" spans="1:8" x14ac:dyDescent="0.2">
      <c r="A92" s="5" t="s">
        <v>10</v>
      </c>
      <c r="B92" s="4" t="s">
        <v>3</v>
      </c>
      <c r="C92" s="5">
        <v>2</v>
      </c>
      <c r="D92" s="5">
        <v>2</v>
      </c>
      <c r="E92" s="5">
        <v>1</v>
      </c>
      <c r="F92" s="5">
        <v>0</v>
      </c>
      <c r="G92" s="5">
        <v>0</v>
      </c>
      <c r="H92">
        <f t="shared" si="7"/>
        <v>1</v>
      </c>
    </row>
    <row r="93" spans="1:8" x14ac:dyDescent="0.2">
      <c r="A93" s="5" t="s">
        <v>10</v>
      </c>
      <c r="B93" s="4" t="s">
        <v>3</v>
      </c>
      <c r="C93" s="5">
        <v>3</v>
      </c>
      <c r="D93" s="5">
        <v>2</v>
      </c>
      <c r="E93" s="5">
        <v>1</v>
      </c>
      <c r="F93" s="5">
        <v>0</v>
      </c>
      <c r="G93" s="5">
        <v>0</v>
      </c>
      <c r="H93">
        <f t="shared" si="7"/>
        <v>1</v>
      </c>
    </row>
    <row r="94" spans="1:8" x14ac:dyDescent="0.2">
      <c r="A94" s="5" t="s">
        <v>10</v>
      </c>
      <c r="B94" s="4" t="s">
        <v>3</v>
      </c>
      <c r="C94" s="5">
        <v>4</v>
      </c>
      <c r="D94" s="5">
        <v>2</v>
      </c>
      <c r="E94" s="5">
        <v>1</v>
      </c>
      <c r="F94" s="5">
        <v>0</v>
      </c>
      <c r="G94" s="5">
        <v>0</v>
      </c>
      <c r="H94">
        <f t="shared" si="7"/>
        <v>1</v>
      </c>
    </row>
    <row r="95" spans="1:8" x14ac:dyDescent="0.2">
      <c r="A95" s="5" t="s">
        <v>10</v>
      </c>
      <c r="B95" s="4" t="s">
        <v>3</v>
      </c>
      <c r="C95" s="5">
        <v>5</v>
      </c>
      <c r="D95" s="5">
        <v>2</v>
      </c>
      <c r="E95" s="5">
        <v>1</v>
      </c>
      <c r="F95" s="5">
        <v>1</v>
      </c>
      <c r="G95" s="5">
        <v>0</v>
      </c>
      <c r="H95">
        <f t="shared" si="7"/>
        <v>2</v>
      </c>
    </row>
    <row r="96" spans="1:8" x14ac:dyDescent="0.2">
      <c r="A96" s="7" t="s">
        <v>10</v>
      </c>
      <c r="B96" s="6" t="s">
        <v>3</v>
      </c>
      <c r="C96" s="7">
        <v>6</v>
      </c>
      <c r="D96" s="7">
        <v>2</v>
      </c>
      <c r="E96" s="7">
        <v>1</v>
      </c>
      <c r="F96" s="7">
        <v>1</v>
      </c>
      <c r="G96" s="7">
        <v>0</v>
      </c>
      <c r="H96" s="6">
        <f t="shared" si="7"/>
        <v>2</v>
      </c>
    </row>
    <row r="97" spans="1:8" x14ac:dyDescent="0.2">
      <c r="A97" s="5" t="s">
        <v>10</v>
      </c>
      <c r="B97" s="5" t="s">
        <v>7</v>
      </c>
      <c r="C97" s="5">
        <v>2246</v>
      </c>
      <c r="D97" s="4">
        <v>1</v>
      </c>
      <c r="E97" s="5">
        <v>1</v>
      </c>
      <c r="F97" s="5">
        <v>0</v>
      </c>
      <c r="G97" s="5">
        <v>0</v>
      </c>
      <c r="H97">
        <f t="shared" si="7"/>
        <v>1</v>
      </c>
    </row>
    <row r="98" spans="1:8" x14ac:dyDescent="0.2">
      <c r="A98" s="5" t="s">
        <v>10</v>
      </c>
      <c r="B98" s="5" t="s">
        <v>7</v>
      </c>
      <c r="C98" s="5">
        <v>79</v>
      </c>
      <c r="D98" s="4">
        <v>1</v>
      </c>
      <c r="E98" s="5">
        <v>1</v>
      </c>
      <c r="F98" s="5">
        <v>1</v>
      </c>
      <c r="G98" s="5">
        <v>1</v>
      </c>
      <c r="H98">
        <f t="shared" si="7"/>
        <v>3</v>
      </c>
    </row>
    <row r="99" spans="1:8" x14ac:dyDescent="0.2">
      <c r="A99" s="5" t="s">
        <v>10</v>
      </c>
      <c r="B99" s="5" t="s">
        <v>7</v>
      </c>
      <c r="C99" s="5">
        <v>80</v>
      </c>
      <c r="D99" s="4">
        <v>1</v>
      </c>
      <c r="E99" s="5">
        <v>1</v>
      </c>
      <c r="F99" s="5">
        <v>1</v>
      </c>
      <c r="G99" s="5">
        <v>0</v>
      </c>
      <c r="H99">
        <f t="shared" si="7"/>
        <v>2</v>
      </c>
    </row>
    <row r="100" spans="1:8" x14ac:dyDescent="0.2">
      <c r="A100" s="5" t="s">
        <v>10</v>
      </c>
      <c r="B100" s="5" t="s">
        <v>7</v>
      </c>
      <c r="C100" s="5">
        <v>101</v>
      </c>
      <c r="D100" s="4">
        <v>1</v>
      </c>
      <c r="E100" s="5">
        <v>1</v>
      </c>
      <c r="F100" s="5">
        <v>1</v>
      </c>
      <c r="G100" s="5">
        <v>1</v>
      </c>
      <c r="H100">
        <f t="shared" si="7"/>
        <v>3</v>
      </c>
    </row>
    <row r="101" spans="1:8" x14ac:dyDescent="0.2">
      <c r="A101" s="5" t="s">
        <v>10</v>
      </c>
      <c r="B101" s="5" t="s">
        <v>7</v>
      </c>
      <c r="C101" s="5">
        <v>424</v>
      </c>
      <c r="D101" s="4">
        <v>1</v>
      </c>
      <c r="E101" s="5">
        <v>1</v>
      </c>
      <c r="F101" s="5">
        <v>1</v>
      </c>
      <c r="G101" s="5">
        <v>0</v>
      </c>
      <c r="H101">
        <f t="shared" si="7"/>
        <v>2</v>
      </c>
    </row>
    <row r="102" spans="1:8" x14ac:dyDescent="0.2">
      <c r="A102" s="5" t="s">
        <v>10</v>
      </c>
      <c r="B102" s="5" t="s">
        <v>7</v>
      </c>
      <c r="C102" s="5">
        <v>425</v>
      </c>
      <c r="D102" s="4">
        <v>1</v>
      </c>
      <c r="E102" s="5">
        <v>1</v>
      </c>
      <c r="F102" s="5">
        <v>1</v>
      </c>
      <c r="G102" s="5">
        <v>0</v>
      </c>
      <c r="H102">
        <f t="shared" si="7"/>
        <v>2</v>
      </c>
    </row>
    <row r="103" spans="1:8" x14ac:dyDescent="0.2">
      <c r="A103" s="5" t="s">
        <v>10</v>
      </c>
      <c r="B103" s="5" t="s">
        <v>7</v>
      </c>
      <c r="C103" s="5">
        <v>427</v>
      </c>
      <c r="D103" s="4">
        <v>1</v>
      </c>
      <c r="E103" s="5">
        <v>1</v>
      </c>
      <c r="F103" s="5">
        <v>1</v>
      </c>
      <c r="G103" s="5">
        <v>0</v>
      </c>
      <c r="H103">
        <f t="shared" si="7"/>
        <v>2</v>
      </c>
    </row>
    <row r="104" spans="1:8" x14ac:dyDescent="0.2">
      <c r="A104" s="5" t="s">
        <v>10</v>
      </c>
      <c r="B104" s="5" t="s">
        <v>7</v>
      </c>
      <c r="C104" s="5">
        <v>428</v>
      </c>
      <c r="D104" s="4">
        <v>1</v>
      </c>
      <c r="E104" s="5">
        <v>1</v>
      </c>
      <c r="F104" s="5">
        <v>0</v>
      </c>
      <c r="G104" s="5">
        <v>0</v>
      </c>
      <c r="H104">
        <f t="shared" si="7"/>
        <v>1</v>
      </c>
    </row>
    <row r="105" spans="1:8" x14ac:dyDescent="0.2">
      <c r="A105" s="5" t="s">
        <v>10</v>
      </c>
      <c r="B105" s="5" t="s">
        <v>7</v>
      </c>
      <c r="C105" s="5">
        <v>434</v>
      </c>
      <c r="D105" s="4">
        <v>1</v>
      </c>
      <c r="E105" s="5">
        <v>1</v>
      </c>
      <c r="F105" s="5">
        <v>0</v>
      </c>
      <c r="G105" s="5">
        <v>0</v>
      </c>
      <c r="H105">
        <f t="shared" si="7"/>
        <v>1</v>
      </c>
    </row>
    <row r="106" spans="1:8" x14ac:dyDescent="0.2">
      <c r="A106" s="5" t="s">
        <v>10</v>
      </c>
      <c r="B106" s="4" t="s">
        <v>7</v>
      </c>
      <c r="C106" s="5">
        <v>1</v>
      </c>
      <c r="D106" s="5">
        <v>2</v>
      </c>
      <c r="E106" s="5">
        <v>1</v>
      </c>
      <c r="F106" s="5">
        <v>0</v>
      </c>
      <c r="G106" s="5">
        <v>0</v>
      </c>
      <c r="H106">
        <f t="shared" si="7"/>
        <v>1</v>
      </c>
    </row>
    <row r="107" spans="1:8" x14ac:dyDescent="0.2">
      <c r="A107" s="5" t="s">
        <v>10</v>
      </c>
      <c r="B107" s="4" t="s">
        <v>7</v>
      </c>
      <c r="C107" s="5">
        <v>2</v>
      </c>
      <c r="D107" s="5">
        <v>2</v>
      </c>
      <c r="E107" s="5">
        <v>1</v>
      </c>
      <c r="F107" s="5">
        <v>0</v>
      </c>
      <c r="G107" s="5">
        <v>0</v>
      </c>
      <c r="H107">
        <f t="shared" si="7"/>
        <v>1</v>
      </c>
    </row>
    <row r="108" spans="1:8" x14ac:dyDescent="0.2">
      <c r="A108" s="5" t="s">
        <v>10</v>
      </c>
      <c r="B108" s="4" t="s">
        <v>7</v>
      </c>
      <c r="C108" s="5">
        <v>3</v>
      </c>
      <c r="D108" s="5">
        <v>2</v>
      </c>
      <c r="E108" s="5">
        <v>1</v>
      </c>
      <c r="F108" s="5">
        <v>0</v>
      </c>
      <c r="G108" s="5">
        <v>0</v>
      </c>
      <c r="H108">
        <f t="shared" si="7"/>
        <v>1</v>
      </c>
    </row>
    <row r="109" spans="1:8" x14ac:dyDescent="0.2">
      <c r="A109" s="5" t="s">
        <v>10</v>
      </c>
      <c r="B109" s="4" t="s">
        <v>7</v>
      </c>
      <c r="C109" s="5">
        <v>1</v>
      </c>
      <c r="D109" s="5">
        <v>2</v>
      </c>
      <c r="E109" s="5">
        <v>1</v>
      </c>
      <c r="F109" s="5">
        <v>0</v>
      </c>
      <c r="G109" s="5">
        <v>0</v>
      </c>
      <c r="H109">
        <f t="shared" si="7"/>
        <v>1</v>
      </c>
    </row>
  </sheetData>
  <sortState xmlns:xlrd2="http://schemas.microsoft.com/office/spreadsheetml/2017/richdata2" ref="A2:G109">
    <sortCondition ref="A2:A109"/>
    <sortCondition ref="B2:B109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2026-04-14T09:10:40Z</cp:lastPrinted>
  <dcterms:created xsi:type="dcterms:W3CDTF">2026-04-14T09:07:39Z</dcterms:created>
  <dcterms:modified xsi:type="dcterms:W3CDTF">2026-04-15T13:27:47Z</dcterms:modified>
</cp:coreProperties>
</file>