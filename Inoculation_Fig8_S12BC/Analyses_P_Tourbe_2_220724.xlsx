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ine\Documents\Protocole_P\"/>
    </mc:Choice>
  </mc:AlternateContent>
  <bookViews>
    <workbookView xWindow="0" yWindow="0" windowWidth="28740" windowHeight="12120"/>
  </bookViews>
  <sheets>
    <sheet name="Analyses_P_Tourbe_2_220724" sheetId="1" r:id="rId1"/>
  </sheets>
  <calcPr calcId="162913" concurrentCalc="0"/>
</workbook>
</file>

<file path=xl/calcChain.xml><?xml version="1.0" encoding="utf-8"?>
<calcChain xmlns="http://schemas.openxmlformats.org/spreadsheetml/2006/main">
  <c r="O159" i="1" l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15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</calcChain>
</file>

<file path=xl/sharedStrings.xml><?xml version="1.0" encoding="utf-8"?>
<sst xmlns="http://schemas.openxmlformats.org/spreadsheetml/2006/main" count="722" uniqueCount="253">
  <si>
    <t>Sample_ID</t>
  </si>
  <si>
    <t>DO_mean</t>
  </si>
  <si>
    <t>Species</t>
  </si>
  <si>
    <t>Inoculation</t>
  </si>
  <si>
    <t>Minuartia verna_Isolate_1-39_1_1</t>
  </si>
  <si>
    <t>Minuartia verna</t>
  </si>
  <si>
    <t>Isolate_1-39</t>
  </si>
  <si>
    <t>NA</t>
  </si>
  <si>
    <t>Minuartia verna_Isolate_1-39_1_2</t>
  </si>
  <si>
    <t>Minuartia verna_Isolate_1-39_1_3</t>
  </si>
  <si>
    <t>Minuartia verna_Isolate_1-39_1_4</t>
  </si>
  <si>
    <t>Minuartia verna_Isolate_1-39_1_5</t>
  </si>
  <si>
    <t>Minuartia verna_Isolate_1-39_2_1</t>
  </si>
  <si>
    <t>Minuartia verna_Isolate_1-40_1_1</t>
  </si>
  <si>
    <t>Isolate_1-40</t>
  </si>
  <si>
    <t>Minuartia verna_Isolate_1-40_1_2</t>
  </si>
  <si>
    <t>Minuartia verna_Isolate_1-40_1_3</t>
  </si>
  <si>
    <t>Minuartia verna_Isolate_1-40_1_4</t>
  </si>
  <si>
    <t>Minuartia verna_Isolate_1-40_1_5</t>
  </si>
  <si>
    <t>Minuartia verna_Isolate_1-40_2_1</t>
  </si>
  <si>
    <t>Minuartia verna_Isolate_1-40_2_2</t>
  </si>
  <si>
    <t>Minuartia verna_Isolate_1-40_2_3</t>
  </si>
  <si>
    <t>Minuartia verna_NI_1_1</t>
  </si>
  <si>
    <t>NI</t>
  </si>
  <si>
    <t>Minuartia verna_NI_1_2</t>
  </si>
  <si>
    <t>Minuartia verna_NI_1_3</t>
  </si>
  <si>
    <t>Minuartia verna_NI_1_4</t>
  </si>
  <si>
    <t>Minuartia verna_NI_1_5</t>
  </si>
  <si>
    <t>Minuartia verna_NI_2_1</t>
  </si>
  <si>
    <t>Minuartia verna_NI_2_2</t>
  </si>
  <si>
    <t>Minuartia verna_NI_2_3</t>
  </si>
  <si>
    <t>Minuartia verna_Isolate_1-39_2_2</t>
  </si>
  <si>
    <t>Minuartia verna_Isolate_1-39_2_3</t>
  </si>
  <si>
    <t>Minuartia verna_Isolate_1-39_2_4</t>
  </si>
  <si>
    <t>Minuartia verna_Isolate_1-39_2_5</t>
  </si>
  <si>
    <t>Minuartia verna_Isolate_1-39_3_1</t>
  </si>
  <si>
    <t>Minuartia verna_Isolate_1-39_3_2</t>
  </si>
  <si>
    <t>Minuartia verna_Isolate_1-39_3_3</t>
  </si>
  <si>
    <t>Minuartia verna_Isolate_1-39_3_4</t>
  </si>
  <si>
    <t>Minuartia verna_Isolate_1-40_2_4</t>
  </si>
  <si>
    <t>Minuartia verna_Isolate_1-40_2_5</t>
  </si>
  <si>
    <t>Minuartia verna_Isolate_1-40_3_1</t>
  </si>
  <si>
    <t>Minuartia verna_Isolate_1-40_3_2</t>
  </si>
  <si>
    <t>Minuartia verna_Isolate_1-40_3_3</t>
  </si>
  <si>
    <t>Minuartia verna_Isolate_1-40_3_4</t>
  </si>
  <si>
    <t>Minuartia verna_Isolate_1-40_3_5</t>
  </si>
  <si>
    <t>Minuartia verna_NI_2_4</t>
  </si>
  <si>
    <t>Minuartia verna_NI_2_5</t>
  </si>
  <si>
    <t>Minuartia verna_NI_3_1</t>
  </si>
  <si>
    <t>Minuartia verna_NI_3_2</t>
  </si>
  <si>
    <t>Minuartia verna_NI_3_3</t>
  </si>
  <si>
    <t>Minuartia verna_NI_3_4</t>
  </si>
  <si>
    <t>Minuartia verna_NI_3_5</t>
  </si>
  <si>
    <t>Minuartia verna_Isolate_1-39_3_5</t>
  </si>
  <si>
    <t>Minuartia verna_Isolate_1-39_4_1</t>
  </si>
  <si>
    <t>Minuartia verna_Isolate_1-39_4_2</t>
  </si>
  <si>
    <t>Minuartia verna_Isolate_1-39_4_3</t>
  </si>
  <si>
    <t>Minuartia verna_Isolate_1-39_4_4</t>
  </si>
  <si>
    <t>Minuartia verna_Isolate_1-39_4_5</t>
  </si>
  <si>
    <t>Minuartia verna_Isolate_1-39_5_1</t>
  </si>
  <si>
    <t>Minuartia verna_Isolate_1-39_5_2</t>
  </si>
  <si>
    <t>Minuartia verna_Isolate_1-40_4_1</t>
  </si>
  <si>
    <t>Minuartia verna_Isolate_1-40_4_2</t>
  </si>
  <si>
    <t>Minuartia verna_Isolate_1-40_4_3</t>
  </si>
  <si>
    <t>Minuartia verna_Isolate_1-40_4_4</t>
  </si>
  <si>
    <t>Minuartia verna_Isolate_1-40_4_5</t>
  </si>
  <si>
    <t>Minuartia verna_Isolate_1-40_5_1</t>
  </si>
  <si>
    <t>Minuartia verna_Isolate_1-40_5_2</t>
  </si>
  <si>
    <t>Minuartia verna_NI_4_1</t>
  </si>
  <si>
    <t>Minuartia verna_NI_4_2</t>
  </si>
  <si>
    <t>Minuartia verna_NI_4_3</t>
  </si>
  <si>
    <t>Minuartia verna_NI_4_4</t>
  </si>
  <si>
    <t>Minuartia verna_NI_4_5</t>
  </si>
  <si>
    <t>Minuartia verna_NI_5_1</t>
  </si>
  <si>
    <t>Minuartia verna_NI_5_2</t>
  </si>
  <si>
    <t>Minuartia verna_Isolate_1-39_5_3</t>
  </si>
  <si>
    <t>Minuartia verna_Isolate_1-39_5_4</t>
  </si>
  <si>
    <t>Minuartia verna_Isolate_1-39_5_5</t>
  </si>
  <si>
    <t>Minuartia verna_Isolate_1-39_6_1</t>
  </si>
  <si>
    <t>Minuartia verna_Isolate_1-39_6_2</t>
  </si>
  <si>
    <t>Minuartia verna_Isolate_1-39_6_3</t>
  </si>
  <si>
    <t>Minuartia verna_Isolate_1-39_6_4</t>
  </si>
  <si>
    <t>Minuartia verna_Isolate_1-39_6_5</t>
  </si>
  <si>
    <t>Minuartia verna_Isolate_1-40_5_3</t>
  </si>
  <si>
    <t>Minuartia verna_Isolate_1-40_5_4</t>
  </si>
  <si>
    <t>Minuartia verna_Isolate_1-40_5_5</t>
  </si>
  <si>
    <t>Minuartia verna_Isolate_1-40_6_1</t>
  </si>
  <si>
    <t>Minuartia verna_Isolate_1-40_6_2</t>
  </si>
  <si>
    <t>Minuartia verna_Isolate_1-40_6_3</t>
  </si>
  <si>
    <t>Minuartia verna_Isolate_1-40_6_4</t>
  </si>
  <si>
    <t>Minuartia verna_NI_5_3</t>
  </si>
  <si>
    <t>Minuartia verna_NI_5_4</t>
  </si>
  <si>
    <t>Minuartia verna_NI_5_5</t>
  </si>
  <si>
    <t>Minuartia verna_NI_6_1</t>
  </si>
  <si>
    <t>Minuartia verna_NI_6_2</t>
  </si>
  <si>
    <t>Minuartia verna_NI_6_3</t>
  </si>
  <si>
    <t>Minuartia verna_NI_6_4</t>
  </si>
  <si>
    <t>Arabis alpina_Isolate_1-39_1_1</t>
  </si>
  <si>
    <t>Arabis alpina</t>
  </si>
  <si>
    <t>Arabis alpina_Isolate_1-40_1_1</t>
  </si>
  <si>
    <t>Arabis alpina_NI_1_1</t>
  </si>
  <si>
    <t>Arabis alpina_NI_1_2</t>
  </si>
  <si>
    <t>Minuartia verna_Isolate_1-39_7_1</t>
  </si>
  <si>
    <t>Minuartia verna_Isolate_1-39_7_2</t>
  </si>
  <si>
    <t>Minuartia verna_Isolate_1-39_7_3</t>
  </si>
  <si>
    <t>Minuartia verna_Isolate_1-39_7_4</t>
  </si>
  <si>
    <t>Minuartia verna_Isolate_1-39_7_5</t>
  </si>
  <si>
    <t>Minuartia verna_Isolate_1-40_6_5</t>
  </si>
  <si>
    <t>Minuartia verna_Isolate_1-40_7_1</t>
  </si>
  <si>
    <t>Minuartia verna_Isolate_1-40_7_2</t>
  </si>
  <si>
    <t>Minuartia verna_Isolate_1-40_7_3</t>
  </si>
  <si>
    <t>Minuartia verna_Isolate_1-40_7_4</t>
  </si>
  <si>
    <t>Minuartia verna_Isolate_1-40_7_5</t>
  </si>
  <si>
    <t>Minuartia verna_NI_5_6</t>
  </si>
  <si>
    <t>Minuartia verna_NI_6_5</t>
  </si>
  <si>
    <t>Minuartia verna_NI_7_1</t>
  </si>
  <si>
    <t>Minuartia verna_NI_7_2</t>
  </si>
  <si>
    <t>Minuartia verna_NI_7_3</t>
  </si>
  <si>
    <t>Minuartia verna_NI_7_4</t>
  </si>
  <si>
    <t>Minuartia verna_NI_7_5</t>
  </si>
  <si>
    <t>Arabis alpina_Isolate_1-39_1_2</t>
  </si>
  <si>
    <t>Arabis alpina_Isolate_1-39_1_3</t>
  </si>
  <si>
    <t>Arabis alpina_Isolate_1-39_1_4</t>
  </si>
  <si>
    <t>Arabis alpina_Isolate_1-39_2_1</t>
  </si>
  <si>
    <t>Arabis alpina_Isolate_1-39_2_2</t>
  </si>
  <si>
    <t>Arabis alpina_Isolate_1-39_2_3</t>
  </si>
  <si>
    <t>Arabis alpina_Isolate_1-39_3_1</t>
  </si>
  <si>
    <t>Arabis alpina_Isolate_1-40_1_2</t>
  </si>
  <si>
    <t>Arabis alpina_Isolate_1-40_1_3</t>
  </si>
  <si>
    <t>Arabis alpina_Isolate_1-40_1_4</t>
  </si>
  <si>
    <t>Arabis alpina_Isolate_1-40_2_1</t>
  </si>
  <si>
    <t>Arabis alpina_Isolate_1-40_2_2</t>
  </si>
  <si>
    <t>Arabis alpina_Isolate_1-40_2_3</t>
  </si>
  <si>
    <t>Arabis alpina_Isolate_1-40_2_4</t>
  </si>
  <si>
    <t>Arabis alpina_NI_1_3</t>
  </si>
  <si>
    <t>Arabis alpina_NI_1_4</t>
  </si>
  <si>
    <t>Arabis alpina_NI_2_1</t>
  </si>
  <si>
    <t>Arabis alpina_NI_2_2</t>
  </si>
  <si>
    <t>Arabis alpina_NI_2_3</t>
  </si>
  <si>
    <t>Arabis alpina_NI_2_4</t>
  </si>
  <si>
    <t>Arabis alpina_NI_3_1</t>
  </si>
  <si>
    <t>Arabis alpina_Isolate_1-39_3_2</t>
  </si>
  <si>
    <t>Arabis alpina_Isolate_1-39_3_3</t>
  </si>
  <si>
    <t>Arabis alpina_Isolate_1-39_3_4</t>
  </si>
  <si>
    <t>Arabis alpina_Isolate_1-40_3_1</t>
  </si>
  <si>
    <t>Arabis alpina_Isolate_1-40_3_2</t>
  </si>
  <si>
    <t>Arabis alpina_Isolate_1-40_3_3</t>
  </si>
  <si>
    <t>Arabis alpina_Isolate_1-40_3_4</t>
  </si>
  <si>
    <t>Arabis alpina_NI_3_2</t>
  </si>
  <si>
    <t>Arabis alpina_NI_3_3</t>
  </si>
  <si>
    <t>Arabis alpina_NI_3_4</t>
  </si>
  <si>
    <t>Carex sempervirens_Isolate_1-39_1</t>
  </si>
  <si>
    <t>Carex sempervirens</t>
  </si>
  <si>
    <t>Carex sempervirens_Isolate_1-39_2</t>
  </si>
  <si>
    <t>Carex sempervirens_Isolate_1-39_4</t>
  </si>
  <si>
    <t>Carex sempervirens_Isolate_1-39_5</t>
  </si>
  <si>
    <t>Carex sempervirens_Isolate_1-40_1</t>
  </si>
  <si>
    <t>Carex sempervirens_Isolate_1-40_2</t>
  </si>
  <si>
    <t>Carex sempervirens_Isolate_1-40_3</t>
  </si>
  <si>
    <t>Carex sempervirens_Isolate_1-40_4</t>
  </si>
  <si>
    <t>Carex sempervirens_NI_1</t>
  </si>
  <si>
    <t>Carex sempervirens_NI_2</t>
  </si>
  <si>
    <t>Carex sempervirens_NI_3</t>
  </si>
  <si>
    <t>Arabis alpina_Isolate_1-39_2_4</t>
  </si>
  <si>
    <t>Carex sempervirens_Isolate_1-40_5</t>
  </si>
  <si>
    <t>Carex sempervirens_Isolate_1-40_6</t>
  </si>
  <si>
    <t>Carex sempervirens_NI_4</t>
  </si>
  <si>
    <t>Carex sempervirens_NI_5</t>
  </si>
  <si>
    <t>Carex sempervirens_Isolate_1-39_1_1</t>
  </si>
  <si>
    <t>Carex sempervirens_Isolate_1-39_1_2</t>
  </si>
  <si>
    <t>Carex sempervirens_Isolate_1-39_1_3</t>
  </si>
  <si>
    <t>Carex sempervirens_Isolate_1-39_2_1</t>
  </si>
  <si>
    <t>Carex sempervirens_Isolate_1-39_2_2</t>
  </si>
  <si>
    <t>Carex sempervirens_Isolate_1-39_2_3</t>
  </si>
  <si>
    <t>Carex sempervirens_Isolate_1-39_3_1</t>
  </si>
  <si>
    <t>Carex sempervirens_Isolate_1-40_1_1</t>
  </si>
  <si>
    <t>Carex sempervirens_Isolate_1-40_1_3</t>
  </si>
  <si>
    <t>Carex sempervirens_Isolate_1-40_2_1</t>
  </si>
  <si>
    <t>Carex sempervirens_Isolate_1-40_2_2</t>
  </si>
  <si>
    <t>Carex sempervirens_Isolate_1-40_3_1</t>
  </si>
  <si>
    <t>Carex sempervirens_Isolate_1-40_3_2</t>
  </si>
  <si>
    <t>Carex sempervirens_NI_1_1</t>
  </si>
  <si>
    <t>Carex sempervirens_NI_1_3</t>
  </si>
  <si>
    <t>Carex sempervirens_NI_2_1</t>
  </si>
  <si>
    <t>Carex sempervirens_NI_2_2</t>
  </si>
  <si>
    <t>Carex sempervirens_NI_3_1</t>
  </si>
  <si>
    <t>Carex sempervirens_Isolate_1-39_3_2</t>
  </si>
  <si>
    <t>Carex sempervirens_Isolate_1-39_3_3</t>
  </si>
  <si>
    <t>Carex sempervirens_Isolate_1-39_4_1</t>
  </si>
  <si>
    <t>Carex sempervirens_Isolate_1-39_4_2</t>
  </si>
  <si>
    <t>Carex sempervirens_Isolate_1-39_4_3</t>
  </si>
  <si>
    <t>Carex sempervirens_Isolate_1-39_5_1</t>
  </si>
  <si>
    <t>Carex sempervirens_Isolate_1-39_5_2</t>
  </si>
  <si>
    <t>Carex sempervirens_Isolate_1-39_5_3</t>
  </si>
  <si>
    <t>Carex sempervirens_Isolate_1-40_3_3</t>
  </si>
  <si>
    <t>Carex sempervirens_Isolate_1-40_4_1</t>
  </si>
  <si>
    <t>Carex sempervirens_Isolate_1-40_4_2</t>
  </si>
  <si>
    <t>Carex sempervirens_Isolate_1-40_4_3</t>
  </si>
  <si>
    <t>Carex sempervirens_Isolate_1-40_5_1</t>
  </si>
  <si>
    <t>Carex sempervirens_Isolate_1-40_5_2</t>
  </si>
  <si>
    <t>Carex sempervirens_NI_3_2</t>
  </si>
  <si>
    <t>Carex sempervirens_NI_3_3</t>
  </si>
  <si>
    <t>Carex sempervirens_NI_4_1</t>
  </si>
  <si>
    <t>Carex sempervirens_NI_5_1</t>
  </si>
  <si>
    <t>Carex sempervirens_NI_5_2</t>
  </si>
  <si>
    <t>Carex sempervirens_Isolate_1-39_6_1</t>
  </si>
  <si>
    <t>Carex sempervirens_Isolate_1-39_6_2</t>
  </si>
  <si>
    <t>Carex sempervirens_Isolate_1-39_6_3</t>
  </si>
  <si>
    <t>Carex sempervirens_Isolate_1-39_7_1</t>
  </si>
  <si>
    <t>Carex sempervirens_Isolate_1-39_8_1</t>
  </si>
  <si>
    <t>Carex sempervirens_Isolate_1-40_6_1</t>
  </si>
  <si>
    <t>Carex sempervirens_Isolate_1-40_6_2</t>
  </si>
  <si>
    <t>Carex sempervirens_Isolate_1-40_6_3</t>
  </si>
  <si>
    <t>Carex sempervirens_Isolate_1-40_7_1</t>
  </si>
  <si>
    <t>Carex sempervirens_Isolate_1-40_7_2</t>
  </si>
  <si>
    <t>Carex sempervirens_NI_6_1</t>
  </si>
  <si>
    <t>Carex sempervirens_NI_6_2</t>
  </si>
  <si>
    <t>Carex sempervirens_NI_6_3</t>
  </si>
  <si>
    <t>Carex sempervirens_NI_7_2</t>
  </si>
  <si>
    <t>Carex sempervirens_NI_8_1</t>
  </si>
  <si>
    <t>Carex sempervirens_NI_8_2</t>
  </si>
  <si>
    <t>Carex sempervirens_Isolate_1-39_7_3</t>
  </si>
  <si>
    <t>Carex sempervirens_Isolate_1-39_8_2</t>
  </si>
  <si>
    <t>Carex sempervirens_Isolate_1-40_1_2</t>
  </si>
  <si>
    <t>Carex sempervirens_Isolate_1-40_2_3</t>
  </si>
  <si>
    <t>Carex sempervirens_Isolate_1-40_5_3</t>
  </si>
  <si>
    <t>Carex sempervirens_Isolate_1-40_7_3</t>
  </si>
  <si>
    <t>Carex sempervirens_Isolate_1-40_8_1</t>
  </si>
  <si>
    <t>Carex sempervirens_Isolate_1-40_8_2</t>
  </si>
  <si>
    <t>Carex sempervirens_Isolate_1-40_9_1</t>
  </si>
  <si>
    <t>Carex sempervirens_Isolate_1-40_9_2</t>
  </si>
  <si>
    <t>Carex sempervirens_Isolate_1-40_9_3</t>
  </si>
  <si>
    <t>Carex sempervirens_Isolate_1-40_9_4</t>
  </si>
  <si>
    <t>Carex sempervirens_NI_1_2</t>
  </si>
  <si>
    <t>Carex sempervirens_NI_2_3</t>
  </si>
  <si>
    <t>Carex sempervirens_NI_4_2</t>
  </si>
  <si>
    <t>Carex sempervirens_NI_4_3</t>
  </si>
  <si>
    <t>Carex sempervirens_NI_5_3</t>
  </si>
  <si>
    <t>Carex sempervirens_NI_7_1</t>
  </si>
  <si>
    <t>Carex sempervirens_NI_7_3</t>
  </si>
  <si>
    <t>Experiment</t>
  </si>
  <si>
    <t>PO4_µg_ml_mean</t>
  </si>
  <si>
    <t>Pot</t>
  </si>
  <si>
    <t>Inoc_Pot</t>
  </si>
  <si>
    <t>Rep</t>
  </si>
  <si>
    <t>Fresh_biomass_g</t>
  </si>
  <si>
    <t>Fresh_biomass_mg</t>
  </si>
  <si>
    <t>Dry_biomass_g</t>
  </si>
  <si>
    <t>Dry_biomass_mg</t>
  </si>
  <si>
    <t>PO4_µg_gDW</t>
  </si>
  <si>
    <t>PO4_µg_mgFW</t>
  </si>
  <si>
    <t>PO4_µg_total</t>
  </si>
  <si>
    <t>PO4_µg_mgDW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</si>
</sst>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1"/>
  <sheetViews>
    <sheetView tabSelected="1" workbookViewId="0">
      <selection activeCell="R14" sqref="R14"/>
    </sheetView>
  </sheetViews>
  <sheetFormatPr baseColWidth="10" defaultRowHeight="15" x14ac:dyDescent="0.25"/>
  <cols>
    <col min="11" max="11" width="14.7109375" customWidth="1"/>
    <col min="15" max="15" width="11.42578125" style="2"/>
  </cols>
  <sheetData>
    <row r="1" spans="1:17" x14ac:dyDescent="0.25">
      <c r="A1" t="s">
        <v>240</v>
      </c>
      <c r="B1" t="s">
        <v>0</v>
      </c>
      <c r="C1" t="s">
        <v>241</v>
      </c>
      <c r="D1" t="s">
        <v>1</v>
      </c>
      <c r="E1" t="s">
        <v>2</v>
      </c>
      <c r="F1" t="s">
        <v>3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s="2" t="s">
        <v>250</v>
      </c>
      <c r="P1" t="s">
        <v>251</v>
      </c>
      <c r="Q1" t="s">
        <v>252</v>
      </c>
    </row>
    <row r="2" spans="1:17" x14ac:dyDescent="0.25">
      <c r="A2">
        <v>2</v>
      </c>
      <c r="B2" t="s">
        <v>4</v>
      </c>
      <c r="C2">
        <v>2.1424561425259201</v>
      </c>
      <c r="D2">
        <v>0.50353333353996299</v>
      </c>
      <c r="E2" t="s">
        <v>5</v>
      </c>
      <c r="F2" t="s">
        <v>6</v>
      </c>
      <c r="G2">
        <v>1</v>
      </c>
      <c r="H2" t="str">
        <f t="shared" ref="H2:H65" si="0">CONCATENATE(F2,"_",G2)</f>
        <v>Isolate_1-39_1</v>
      </c>
      <c r="I2">
        <v>1</v>
      </c>
      <c r="J2" s="1">
        <v>1.3520000000000001E-2</v>
      </c>
      <c r="K2">
        <v>13.52</v>
      </c>
      <c r="L2">
        <v>1.2899999999999999E-3</v>
      </c>
      <c r="M2">
        <v>1.29</v>
      </c>
      <c r="N2">
        <v>5190.0584848011704</v>
      </c>
      <c r="O2" s="2">
        <v>0.49520528442259698</v>
      </c>
      <c r="P2">
        <v>6.6951754453935104</v>
      </c>
      <c r="Q2">
        <v>5.1900584848011704</v>
      </c>
    </row>
    <row r="3" spans="1:17" x14ac:dyDescent="0.25">
      <c r="A3">
        <v>2</v>
      </c>
      <c r="B3" t="s">
        <v>8</v>
      </c>
      <c r="C3">
        <v>2.6761403418423799</v>
      </c>
      <c r="D3">
        <v>0.55423333247502604</v>
      </c>
      <c r="E3" t="s">
        <v>5</v>
      </c>
      <c r="F3" t="s">
        <v>6</v>
      </c>
      <c r="G3">
        <v>1</v>
      </c>
      <c r="H3" t="str">
        <f t="shared" si="0"/>
        <v>Isolate_1-39_1</v>
      </c>
      <c r="I3">
        <v>2</v>
      </c>
      <c r="J3" s="1">
        <v>1.043E-2</v>
      </c>
      <c r="K3">
        <v>10.43</v>
      </c>
      <c r="L3">
        <v>1.4E-3</v>
      </c>
      <c r="M3">
        <v>1.4</v>
      </c>
      <c r="N3">
        <v>5973.5275487553199</v>
      </c>
      <c r="O3" s="2">
        <v>0.80181577835641904</v>
      </c>
      <c r="P3">
        <v>8.3629385682574497</v>
      </c>
      <c r="Q3">
        <v>5.9735275487553201</v>
      </c>
    </row>
    <row r="4" spans="1:17" x14ac:dyDescent="0.25">
      <c r="A4">
        <v>2</v>
      </c>
      <c r="B4" t="s">
        <v>9</v>
      </c>
      <c r="C4">
        <v>2.7687720248573702</v>
      </c>
      <c r="D4">
        <v>0.56303334236144997</v>
      </c>
      <c r="E4" t="s">
        <v>5</v>
      </c>
      <c r="F4" t="s">
        <v>6</v>
      </c>
      <c r="G4">
        <v>1</v>
      </c>
      <c r="H4" t="str">
        <f t="shared" si="0"/>
        <v>Isolate_1-39_1</v>
      </c>
      <c r="I4">
        <v>3</v>
      </c>
      <c r="J4" s="1">
        <v>9.9799999999999906E-3</v>
      </c>
      <c r="K4">
        <v>9.98</v>
      </c>
      <c r="L4">
        <v>1.6900000000000001E-3</v>
      </c>
      <c r="M4">
        <v>1.69</v>
      </c>
      <c r="N4">
        <v>5119.7707560232402</v>
      </c>
      <c r="O4" s="2">
        <v>0.86697520818429696</v>
      </c>
      <c r="P4">
        <v>8.6524125776792804</v>
      </c>
      <c r="Q4">
        <v>5.1197707560232404</v>
      </c>
    </row>
    <row r="5" spans="1:17" x14ac:dyDescent="0.25">
      <c r="A5">
        <v>2</v>
      </c>
      <c r="B5" t="s">
        <v>10</v>
      </c>
      <c r="C5">
        <v>2.8368422023036999</v>
      </c>
      <c r="D5">
        <v>0.56950000921885202</v>
      </c>
      <c r="E5" t="s">
        <v>5</v>
      </c>
      <c r="F5" t="s">
        <v>6</v>
      </c>
      <c r="G5">
        <v>1</v>
      </c>
      <c r="H5" t="str">
        <f t="shared" si="0"/>
        <v>Isolate_1-39_1</v>
      </c>
      <c r="I5">
        <v>4</v>
      </c>
      <c r="J5" s="1">
        <v>1.04379999999999E-2</v>
      </c>
      <c r="K5">
        <v>10.438000000000001</v>
      </c>
      <c r="L5">
        <v>1.5499999999999999E-3</v>
      </c>
      <c r="M5">
        <v>1.55</v>
      </c>
      <c r="N5">
        <v>5719.4399239994</v>
      </c>
      <c r="O5" s="2">
        <v>0.84931326712004895</v>
      </c>
      <c r="P5">
        <v>8.8651318821990692</v>
      </c>
      <c r="Q5">
        <v>5.7194399239994</v>
      </c>
    </row>
    <row r="6" spans="1:17" x14ac:dyDescent="0.25">
      <c r="A6">
        <v>2</v>
      </c>
      <c r="B6" t="s">
        <v>11</v>
      </c>
      <c r="C6">
        <v>2.8378947994165298</v>
      </c>
      <c r="D6">
        <v>0.56960000594457005</v>
      </c>
      <c r="E6" t="s">
        <v>5</v>
      </c>
      <c r="F6" t="s">
        <v>6</v>
      </c>
      <c r="G6">
        <v>1</v>
      </c>
      <c r="H6" t="str">
        <f t="shared" si="0"/>
        <v>Isolate_1-39_1</v>
      </c>
      <c r="I6">
        <v>5</v>
      </c>
      <c r="J6" s="1">
        <v>1.444E-2</v>
      </c>
      <c r="K6">
        <v>14.44</v>
      </c>
      <c r="L6">
        <v>2.2200000000000002E-3</v>
      </c>
      <c r="M6">
        <v>2.2200000000000002</v>
      </c>
      <c r="N6">
        <v>3994.7843460255099</v>
      </c>
      <c r="O6" s="2">
        <v>0.614156596134116</v>
      </c>
      <c r="P6">
        <v>8.8684212481766398</v>
      </c>
      <c r="Q6">
        <v>3.9947843460255101</v>
      </c>
    </row>
    <row r="7" spans="1:17" x14ac:dyDescent="0.25">
      <c r="A7">
        <v>2</v>
      </c>
      <c r="B7" t="s">
        <v>12</v>
      </c>
      <c r="C7">
        <v>4.2326313570926102</v>
      </c>
      <c r="D7">
        <v>0.70209997892379805</v>
      </c>
      <c r="E7" t="s">
        <v>5</v>
      </c>
      <c r="F7" t="s">
        <v>6</v>
      </c>
      <c r="G7">
        <v>2</v>
      </c>
      <c r="H7" t="str">
        <f t="shared" si="0"/>
        <v>Isolate_1-39_2</v>
      </c>
      <c r="I7">
        <v>1</v>
      </c>
      <c r="J7" s="1">
        <v>1.304E-2</v>
      </c>
      <c r="K7">
        <v>13.04</v>
      </c>
      <c r="L7">
        <v>2.1199999999999999E-3</v>
      </c>
      <c r="M7">
        <v>2.12</v>
      </c>
      <c r="N7">
        <v>6239.1382032615102</v>
      </c>
      <c r="O7" s="2">
        <v>1.01433841954865</v>
      </c>
      <c r="P7">
        <v>13.226972990914399</v>
      </c>
      <c r="Q7">
        <v>6.2391382032615104</v>
      </c>
    </row>
    <row r="8" spans="1:17" x14ac:dyDescent="0.25">
      <c r="A8">
        <v>2</v>
      </c>
      <c r="B8" t="s">
        <v>13</v>
      </c>
      <c r="C8">
        <v>2.5957895161812798</v>
      </c>
      <c r="D8">
        <v>0.54660000403722098</v>
      </c>
      <c r="E8" t="s">
        <v>5</v>
      </c>
      <c r="F8" t="s">
        <v>14</v>
      </c>
      <c r="G8">
        <v>1</v>
      </c>
      <c r="H8" t="str">
        <f t="shared" si="0"/>
        <v>Isolate_1-40_1</v>
      </c>
      <c r="I8">
        <v>1</v>
      </c>
      <c r="J8" s="1">
        <v>1.5570000000000001E-2</v>
      </c>
      <c r="K8">
        <v>15.57</v>
      </c>
      <c r="L8">
        <v>1.8699999999999999E-3</v>
      </c>
      <c r="M8">
        <v>1.87</v>
      </c>
      <c r="N8">
        <v>4337.8835497681803</v>
      </c>
      <c r="O8" s="2">
        <v>0.52099179435237597</v>
      </c>
      <c r="P8">
        <v>8.1118422380664903</v>
      </c>
      <c r="Q8">
        <v>4.33788354976818</v>
      </c>
    </row>
    <row r="9" spans="1:17" x14ac:dyDescent="0.25">
      <c r="A9">
        <v>2</v>
      </c>
      <c r="B9" t="s">
        <v>15</v>
      </c>
      <c r="C9">
        <v>2.40771929423014</v>
      </c>
      <c r="D9">
        <v>0.52873333295186398</v>
      </c>
      <c r="E9" t="s">
        <v>5</v>
      </c>
      <c r="F9" t="s">
        <v>14</v>
      </c>
      <c r="G9">
        <v>1</v>
      </c>
      <c r="H9" t="str">
        <f t="shared" si="0"/>
        <v>Isolate_1-40_1</v>
      </c>
      <c r="I9">
        <v>2</v>
      </c>
      <c r="J9" s="1">
        <v>1.1220000000000001E-2</v>
      </c>
      <c r="K9">
        <v>11.22</v>
      </c>
      <c r="L9">
        <v>2.0799999999999998E-3</v>
      </c>
      <c r="M9">
        <v>2.08</v>
      </c>
      <c r="N9">
        <v>3617.3667281101898</v>
      </c>
      <c r="O9" s="2">
        <v>0.67059917954270898</v>
      </c>
      <c r="P9">
        <v>7.5241227944692</v>
      </c>
      <c r="Q9">
        <v>3.61736672811019</v>
      </c>
    </row>
    <row r="10" spans="1:17" x14ac:dyDescent="0.25">
      <c r="A10">
        <v>2</v>
      </c>
      <c r="B10" t="s">
        <v>16</v>
      </c>
      <c r="C10">
        <v>2.9792981398733001</v>
      </c>
      <c r="D10">
        <v>0.58303332328796398</v>
      </c>
      <c r="E10" t="s">
        <v>5</v>
      </c>
      <c r="F10" t="s">
        <v>14</v>
      </c>
      <c r="G10">
        <v>1</v>
      </c>
      <c r="H10" t="str">
        <f t="shared" si="0"/>
        <v>Isolate_1-40_1</v>
      </c>
      <c r="I10">
        <v>3</v>
      </c>
      <c r="J10" s="1">
        <v>1.16399999999999E-2</v>
      </c>
      <c r="K10">
        <v>11.64</v>
      </c>
      <c r="L10">
        <v>1.97E-3</v>
      </c>
      <c r="M10">
        <v>1.97</v>
      </c>
      <c r="N10">
        <v>4726.04400360613</v>
      </c>
      <c r="O10" s="2">
        <v>0.79985452638351195</v>
      </c>
      <c r="P10">
        <v>9.3103066871040792</v>
      </c>
      <c r="Q10">
        <v>4.7260440036061304</v>
      </c>
    </row>
    <row r="11" spans="1:17" x14ac:dyDescent="0.25">
      <c r="A11">
        <v>2</v>
      </c>
      <c r="B11" t="s">
        <v>17</v>
      </c>
      <c r="C11">
        <v>2.13263151938455</v>
      </c>
      <c r="D11">
        <v>0.50259999434153202</v>
      </c>
      <c r="E11" t="s">
        <v>5</v>
      </c>
      <c r="F11" t="s">
        <v>14</v>
      </c>
      <c r="G11">
        <v>1</v>
      </c>
      <c r="H11" t="str">
        <f t="shared" si="0"/>
        <v>Isolate_1-40_1</v>
      </c>
      <c r="I11">
        <v>4</v>
      </c>
      <c r="J11" s="1">
        <v>5.6600000000000001E-3</v>
      </c>
      <c r="K11">
        <v>5.66</v>
      </c>
      <c r="L11">
        <v>1.09E-3</v>
      </c>
      <c r="M11">
        <v>1.0900000000000001</v>
      </c>
      <c r="N11">
        <v>6114.1958697951604</v>
      </c>
      <c r="O11" s="2">
        <v>1.17746881591462</v>
      </c>
      <c r="P11">
        <v>6.6644734980767204</v>
      </c>
      <c r="Q11">
        <v>6.1141958697951599</v>
      </c>
    </row>
    <row r="12" spans="1:17" x14ac:dyDescent="0.25">
      <c r="A12">
        <v>2</v>
      </c>
      <c r="B12" t="s">
        <v>18</v>
      </c>
      <c r="C12">
        <v>1.6512281225438701</v>
      </c>
      <c r="D12">
        <v>0.456866671641668</v>
      </c>
      <c r="E12" t="s">
        <v>5</v>
      </c>
      <c r="F12" t="s">
        <v>14</v>
      </c>
      <c r="G12">
        <v>1</v>
      </c>
      <c r="H12" t="str">
        <f t="shared" si="0"/>
        <v>Isolate_1-40_1</v>
      </c>
      <c r="I12">
        <v>5</v>
      </c>
      <c r="J12" s="1">
        <v>7.5900000000000004E-3</v>
      </c>
      <c r="K12">
        <v>7.59</v>
      </c>
      <c r="L12">
        <v>1.4499999999999999E-3</v>
      </c>
      <c r="M12">
        <v>1.45</v>
      </c>
      <c r="N12">
        <v>3558.6812985859301</v>
      </c>
      <c r="O12" s="2">
        <v>0.67985347601443902</v>
      </c>
      <c r="P12">
        <v>5.1600878829496004</v>
      </c>
      <c r="Q12">
        <v>3.5586812985859302</v>
      </c>
    </row>
    <row r="13" spans="1:17" x14ac:dyDescent="0.25">
      <c r="A13">
        <v>2</v>
      </c>
      <c r="B13" t="s">
        <v>19</v>
      </c>
      <c r="C13">
        <v>1.1789473734403899</v>
      </c>
      <c r="D13">
        <v>0.41200000047683699</v>
      </c>
      <c r="E13" t="s">
        <v>5</v>
      </c>
      <c r="F13" t="s">
        <v>14</v>
      </c>
      <c r="G13">
        <v>2</v>
      </c>
      <c r="H13" t="str">
        <f t="shared" si="0"/>
        <v>Isolate_1-40_2</v>
      </c>
      <c r="I13">
        <v>1</v>
      </c>
      <c r="J13" s="1">
        <v>4.3099999999999901E-3</v>
      </c>
      <c r="K13">
        <v>4.3099999999999996</v>
      </c>
      <c r="L13">
        <v>1.1800000000000001E-3</v>
      </c>
      <c r="M13">
        <v>1.18</v>
      </c>
      <c r="N13">
        <v>3122.2123237298501</v>
      </c>
      <c r="O13" s="2">
        <v>0.85480523016269705</v>
      </c>
      <c r="P13">
        <v>3.6842105420012201</v>
      </c>
      <c r="Q13">
        <v>3.1222123237298498</v>
      </c>
    </row>
    <row r="14" spans="1:17" x14ac:dyDescent="0.25">
      <c r="A14">
        <v>2</v>
      </c>
      <c r="B14" t="s">
        <v>20</v>
      </c>
      <c r="C14">
        <v>1.5519298168650799</v>
      </c>
      <c r="D14">
        <v>0.44743333260218299</v>
      </c>
      <c r="E14" t="s">
        <v>5</v>
      </c>
      <c r="F14" t="s">
        <v>14</v>
      </c>
      <c r="G14">
        <v>2</v>
      </c>
      <c r="H14" t="str">
        <f t="shared" si="0"/>
        <v>Isolate_1-40_2</v>
      </c>
      <c r="I14">
        <v>2</v>
      </c>
      <c r="J14" s="1">
        <v>4.5900000000000003E-3</v>
      </c>
      <c r="K14">
        <v>4.59</v>
      </c>
      <c r="L14">
        <v>1.33E-3</v>
      </c>
      <c r="M14">
        <v>1.33</v>
      </c>
      <c r="N14">
        <v>3646.4516373709698</v>
      </c>
      <c r="O14" s="2">
        <v>1.0565970975388601</v>
      </c>
      <c r="P14">
        <v>4.8497806777033903</v>
      </c>
      <c r="Q14">
        <v>3.6464516373709701</v>
      </c>
    </row>
    <row r="15" spans="1:17" x14ac:dyDescent="0.25">
      <c r="A15">
        <v>2</v>
      </c>
      <c r="B15" t="s">
        <v>21</v>
      </c>
      <c r="C15">
        <v>2.0505263303455599</v>
      </c>
      <c r="D15">
        <v>0.49480000138282798</v>
      </c>
      <c r="E15" t="s">
        <v>5</v>
      </c>
      <c r="F15" t="s">
        <v>14</v>
      </c>
      <c r="G15">
        <v>2</v>
      </c>
      <c r="H15" t="str">
        <f t="shared" si="0"/>
        <v>Isolate_1-40_2</v>
      </c>
      <c r="I15">
        <v>3</v>
      </c>
      <c r="J15" s="1">
        <v>9.0500000000000008E-3</v>
      </c>
      <c r="K15">
        <v>9.0500000000000007</v>
      </c>
      <c r="L15">
        <v>1.8500000000000001E-3</v>
      </c>
      <c r="M15">
        <v>1.85</v>
      </c>
      <c r="N15">
        <v>3463.72690936749</v>
      </c>
      <c r="O15" s="2">
        <v>0.70805467208064798</v>
      </c>
      <c r="P15">
        <v>6.4078947823298602</v>
      </c>
      <c r="Q15">
        <v>3.4637269093674901</v>
      </c>
    </row>
    <row r="16" spans="1:17" x14ac:dyDescent="0.25">
      <c r="A16">
        <v>2</v>
      </c>
      <c r="B16" t="s">
        <v>22</v>
      </c>
      <c r="C16">
        <v>1.10666670297322</v>
      </c>
      <c r="D16">
        <v>0.405133336782455</v>
      </c>
      <c r="E16" t="s">
        <v>5</v>
      </c>
      <c r="F16" t="s">
        <v>23</v>
      </c>
      <c r="G16">
        <v>1</v>
      </c>
      <c r="H16" t="str">
        <f t="shared" si="0"/>
        <v>NI_1</v>
      </c>
      <c r="I16">
        <v>1</v>
      </c>
      <c r="J16" s="1">
        <v>1.0699999999999901E-2</v>
      </c>
      <c r="K16">
        <v>10.7</v>
      </c>
      <c r="L16">
        <v>1.7899999999999999E-3</v>
      </c>
      <c r="M16">
        <v>1.79</v>
      </c>
      <c r="N16">
        <v>1932.0298585426201</v>
      </c>
      <c r="O16" s="2">
        <v>0.32320873334498101</v>
      </c>
      <c r="P16">
        <v>3.4583334467913001</v>
      </c>
      <c r="Q16">
        <v>1.9320298585426201</v>
      </c>
    </row>
    <row r="17" spans="1:17" x14ac:dyDescent="0.25">
      <c r="A17">
        <v>2</v>
      </c>
      <c r="B17" t="s">
        <v>24</v>
      </c>
      <c r="C17">
        <v>1.9003508592906799</v>
      </c>
      <c r="D17">
        <v>0.48053333163261402</v>
      </c>
      <c r="E17" t="s">
        <v>5</v>
      </c>
      <c r="F17" t="s">
        <v>23</v>
      </c>
      <c r="G17">
        <v>1</v>
      </c>
      <c r="H17" t="str">
        <f t="shared" si="0"/>
        <v>NI_1</v>
      </c>
      <c r="I17">
        <v>2</v>
      </c>
      <c r="J17" s="1">
        <v>1.5959999999999901E-2</v>
      </c>
      <c r="K17">
        <v>15.96</v>
      </c>
      <c r="L17">
        <v>1.8E-3</v>
      </c>
      <c r="M17">
        <v>1.8</v>
      </c>
      <c r="N17">
        <v>3299.22024182409</v>
      </c>
      <c r="O17" s="2">
        <v>0.37209250847640102</v>
      </c>
      <c r="P17">
        <v>5.93859643528336</v>
      </c>
      <c r="Q17">
        <v>3.2992202418240901</v>
      </c>
    </row>
    <row r="18" spans="1:17" x14ac:dyDescent="0.25">
      <c r="A18">
        <v>2</v>
      </c>
      <c r="B18" t="s">
        <v>25</v>
      </c>
      <c r="C18">
        <v>1.07122808171992</v>
      </c>
      <c r="D18">
        <v>0.40176666776339198</v>
      </c>
      <c r="E18" t="s">
        <v>5</v>
      </c>
      <c r="F18" t="s">
        <v>23</v>
      </c>
      <c r="G18">
        <v>1</v>
      </c>
      <c r="H18" t="str">
        <f t="shared" si="0"/>
        <v>NI_1</v>
      </c>
      <c r="I18">
        <v>3</v>
      </c>
      <c r="J18" s="1">
        <v>1.2670000000000001E-2</v>
      </c>
      <c r="K18">
        <v>12.67</v>
      </c>
      <c r="L18">
        <v>1.6299999999999999E-3</v>
      </c>
      <c r="M18">
        <v>1.63</v>
      </c>
      <c r="N18">
        <v>2053.73481924831</v>
      </c>
      <c r="O18" s="2">
        <v>0.26421371392065801</v>
      </c>
      <c r="P18">
        <v>3.34758775537474</v>
      </c>
      <c r="Q18">
        <v>2.05373481924831</v>
      </c>
    </row>
    <row r="19" spans="1:17" x14ac:dyDescent="0.25">
      <c r="A19">
        <v>2</v>
      </c>
      <c r="B19" t="s">
        <v>26</v>
      </c>
      <c r="C19">
        <v>1.42526314969648</v>
      </c>
      <c r="D19">
        <v>0.43539999922116601</v>
      </c>
      <c r="E19" t="s">
        <v>5</v>
      </c>
      <c r="F19" t="s">
        <v>23</v>
      </c>
      <c r="G19">
        <v>1</v>
      </c>
      <c r="H19" t="str">
        <f t="shared" si="0"/>
        <v>NI_1</v>
      </c>
      <c r="I19">
        <v>4</v>
      </c>
      <c r="J19" s="1">
        <v>1.7600000000000001E-2</v>
      </c>
      <c r="K19">
        <v>17.600000000000001</v>
      </c>
      <c r="L19">
        <v>2.49E-3</v>
      </c>
      <c r="M19">
        <v>2.4900000000000002</v>
      </c>
      <c r="N19">
        <v>1788.7338726110499</v>
      </c>
      <c r="O19" s="2">
        <v>0.25306518993190402</v>
      </c>
      <c r="P19">
        <v>4.4539473428015102</v>
      </c>
      <c r="Q19">
        <v>1.78873387261105</v>
      </c>
    </row>
    <row r="20" spans="1:17" x14ac:dyDescent="0.25">
      <c r="A20">
        <v>2</v>
      </c>
      <c r="B20" t="s">
        <v>27</v>
      </c>
      <c r="C20">
        <v>0.99578951534472004</v>
      </c>
      <c r="D20">
        <v>0.39460000395774802</v>
      </c>
      <c r="E20" t="s">
        <v>5</v>
      </c>
      <c r="F20" t="s">
        <v>23</v>
      </c>
      <c r="G20">
        <v>1</v>
      </c>
      <c r="H20" t="str">
        <f t="shared" si="0"/>
        <v>NI_1</v>
      </c>
      <c r="I20">
        <v>5</v>
      </c>
      <c r="J20" s="1">
        <v>1.1509999999999901E-2</v>
      </c>
      <c r="K20">
        <v>11.51</v>
      </c>
      <c r="L20">
        <v>1.7700000000000001E-3</v>
      </c>
      <c r="M20">
        <v>1.77</v>
      </c>
      <c r="N20">
        <v>1758.1029578826301</v>
      </c>
      <c r="O20" s="2">
        <v>0.27035988144676398</v>
      </c>
      <c r="P20">
        <v>3.1118422354522499</v>
      </c>
      <c r="Q20">
        <v>1.7581029578826299</v>
      </c>
    </row>
    <row r="21" spans="1:17" x14ac:dyDescent="0.25">
      <c r="A21">
        <v>2</v>
      </c>
      <c r="B21" t="s">
        <v>28</v>
      </c>
      <c r="C21">
        <v>0.66210535534641202</v>
      </c>
      <c r="D21">
        <v>0.36290000875790901</v>
      </c>
      <c r="E21" t="s">
        <v>5</v>
      </c>
      <c r="F21" t="s">
        <v>23</v>
      </c>
      <c r="G21">
        <v>2</v>
      </c>
      <c r="H21" t="str">
        <f t="shared" si="0"/>
        <v>NI_2</v>
      </c>
      <c r="I21">
        <v>1</v>
      </c>
      <c r="J21" s="1">
        <v>2.12999999999999E-3</v>
      </c>
      <c r="K21">
        <v>2.13</v>
      </c>
      <c r="L21">
        <v>3.8999999999999999E-4</v>
      </c>
      <c r="M21">
        <v>0.39</v>
      </c>
      <c r="N21">
        <v>5305.3313729680503</v>
      </c>
      <c r="O21" s="2">
        <v>0.97139870209274104</v>
      </c>
      <c r="P21">
        <v>2.06907923545754</v>
      </c>
      <c r="Q21">
        <v>5.30533137296805</v>
      </c>
    </row>
    <row r="22" spans="1:17" x14ac:dyDescent="0.25">
      <c r="A22">
        <v>2</v>
      </c>
      <c r="B22" t="s">
        <v>29</v>
      </c>
      <c r="C22">
        <v>0.84175448668630504</v>
      </c>
      <c r="D22">
        <v>0.37996667623519897</v>
      </c>
      <c r="E22" t="s">
        <v>5</v>
      </c>
      <c r="F22" t="s">
        <v>23</v>
      </c>
      <c r="G22">
        <v>2</v>
      </c>
      <c r="H22" t="str">
        <f t="shared" si="0"/>
        <v>NI_2</v>
      </c>
      <c r="I22">
        <v>2</v>
      </c>
      <c r="J22" s="1">
        <v>9.4999999999999894E-3</v>
      </c>
      <c r="K22">
        <v>9.5</v>
      </c>
      <c r="L22">
        <v>2.2300000000000002E-3</v>
      </c>
      <c r="M22">
        <v>2.23</v>
      </c>
      <c r="N22">
        <v>1179.5886864998699</v>
      </c>
      <c r="O22" s="2">
        <v>0.27689292325207399</v>
      </c>
      <c r="P22">
        <v>2.6304827708946998</v>
      </c>
      <c r="Q22">
        <v>1.1795886864998699</v>
      </c>
    </row>
    <row r="23" spans="1:17" x14ac:dyDescent="0.25">
      <c r="A23">
        <v>2</v>
      </c>
      <c r="B23" t="s">
        <v>30</v>
      </c>
      <c r="C23">
        <v>1.2642104583874101</v>
      </c>
      <c r="D23">
        <v>0.420099993546804</v>
      </c>
      <c r="E23" t="s">
        <v>5</v>
      </c>
      <c r="F23" t="s">
        <v>23</v>
      </c>
      <c r="G23">
        <v>2</v>
      </c>
      <c r="H23" t="str">
        <f t="shared" si="0"/>
        <v>NI_2</v>
      </c>
      <c r="I23">
        <v>3</v>
      </c>
      <c r="J23" s="1">
        <v>9.6399999999999906E-3</v>
      </c>
      <c r="K23">
        <v>9.64</v>
      </c>
      <c r="L23">
        <v>1.7700000000000001E-3</v>
      </c>
      <c r="M23">
        <v>1.77</v>
      </c>
      <c r="N23">
        <v>2232.0099900907599</v>
      </c>
      <c r="O23" s="2">
        <v>0.40981926166604299</v>
      </c>
      <c r="P23">
        <v>3.9506576824606499</v>
      </c>
      <c r="Q23">
        <v>2.2320099900907602</v>
      </c>
    </row>
    <row r="24" spans="1:17" x14ac:dyDescent="0.25">
      <c r="A24">
        <v>2</v>
      </c>
      <c r="B24" t="s">
        <v>31</v>
      </c>
      <c r="C24">
        <v>3.2225925834090599</v>
      </c>
      <c r="D24">
        <v>0.590033332506816</v>
      </c>
      <c r="E24" t="s">
        <v>5</v>
      </c>
      <c r="F24" t="s">
        <v>6</v>
      </c>
      <c r="G24">
        <v>2</v>
      </c>
      <c r="H24" t="str">
        <f t="shared" si="0"/>
        <v>Isolate_1-39_2</v>
      </c>
      <c r="I24">
        <v>2</v>
      </c>
      <c r="J24" s="1">
        <v>1.558E-2</v>
      </c>
      <c r="K24">
        <v>15.58</v>
      </c>
      <c r="L24">
        <v>2.3E-3</v>
      </c>
      <c r="M24">
        <v>2.2999999999999998</v>
      </c>
      <c r="N24">
        <v>4378.5225318057901</v>
      </c>
      <c r="O24" s="2">
        <v>0.64638009134488605</v>
      </c>
      <c r="P24">
        <v>10.0706018231533</v>
      </c>
      <c r="Q24">
        <v>4.3785225318057899</v>
      </c>
    </row>
    <row r="25" spans="1:17" x14ac:dyDescent="0.25">
      <c r="A25">
        <v>2</v>
      </c>
      <c r="B25" t="s">
        <v>32</v>
      </c>
      <c r="C25">
        <v>2.6618519535771101</v>
      </c>
      <c r="D25">
        <v>0.53956667582193996</v>
      </c>
      <c r="E25" t="s">
        <v>5</v>
      </c>
      <c r="F25" t="s">
        <v>6</v>
      </c>
      <c r="G25">
        <v>2</v>
      </c>
      <c r="H25" t="str">
        <f t="shared" si="0"/>
        <v>Isolate_1-39_2</v>
      </c>
      <c r="I25">
        <v>3</v>
      </c>
      <c r="J25" s="1">
        <v>1.24899999999999E-2</v>
      </c>
      <c r="K25">
        <v>12.49</v>
      </c>
      <c r="L25">
        <v>1.57E-3</v>
      </c>
      <c r="M25">
        <v>1.57</v>
      </c>
      <c r="N25">
        <v>5298.2722005913902</v>
      </c>
      <c r="O25" s="2">
        <v>0.66599578502229595</v>
      </c>
      <c r="P25">
        <v>8.3182873549284793</v>
      </c>
      <c r="Q25">
        <v>5.2982722005913896</v>
      </c>
    </row>
    <row r="26" spans="1:17" x14ac:dyDescent="0.25">
      <c r="A26">
        <v>2</v>
      </c>
      <c r="B26" t="s">
        <v>33</v>
      </c>
      <c r="C26">
        <v>2.9774075525778301</v>
      </c>
      <c r="D26">
        <v>0.56796667973200499</v>
      </c>
      <c r="E26" t="s">
        <v>5</v>
      </c>
      <c r="F26" t="s">
        <v>6</v>
      </c>
      <c r="G26">
        <v>2</v>
      </c>
      <c r="H26" t="str">
        <f t="shared" si="0"/>
        <v>Isolate_1-39_2</v>
      </c>
      <c r="I26">
        <v>4</v>
      </c>
      <c r="J26" s="1">
        <v>1.383E-2</v>
      </c>
      <c r="K26">
        <v>13.83</v>
      </c>
      <c r="L26">
        <v>1.34E-3</v>
      </c>
      <c r="M26">
        <v>1.34</v>
      </c>
      <c r="N26">
        <v>6943.5810461236697</v>
      </c>
      <c r="O26" s="2">
        <v>0.67276924091147705</v>
      </c>
      <c r="P26">
        <v>9.3043986018057208</v>
      </c>
      <c r="Q26">
        <v>6.9435810461236702</v>
      </c>
    </row>
    <row r="27" spans="1:17" x14ac:dyDescent="0.25">
      <c r="A27">
        <v>2</v>
      </c>
      <c r="B27" t="s">
        <v>34</v>
      </c>
      <c r="C27">
        <v>4.0711110609549097</v>
      </c>
      <c r="D27">
        <v>0.66639999548594198</v>
      </c>
      <c r="E27" t="s">
        <v>5</v>
      </c>
      <c r="F27" t="s">
        <v>6</v>
      </c>
      <c r="G27">
        <v>2</v>
      </c>
      <c r="H27" t="str">
        <f t="shared" si="0"/>
        <v>Isolate_1-39_2</v>
      </c>
      <c r="I27">
        <v>5</v>
      </c>
      <c r="J27" s="1">
        <v>1.41099999999999E-2</v>
      </c>
      <c r="K27">
        <v>14.11</v>
      </c>
      <c r="L27">
        <v>1.66E-3</v>
      </c>
      <c r="M27">
        <v>1.66</v>
      </c>
      <c r="N27">
        <v>7663.98919607475</v>
      </c>
      <c r="O27" s="2">
        <v>0.90164578777350002</v>
      </c>
      <c r="P27">
        <v>12.7222220654841</v>
      </c>
      <c r="Q27">
        <v>7.6639891960747502</v>
      </c>
    </row>
    <row r="28" spans="1:17" x14ac:dyDescent="0.25">
      <c r="A28">
        <v>2</v>
      </c>
      <c r="B28" t="s">
        <v>35</v>
      </c>
      <c r="C28">
        <v>1.9033333990309</v>
      </c>
      <c r="D28">
        <v>0.47130000591278098</v>
      </c>
      <c r="E28" t="s">
        <v>5</v>
      </c>
      <c r="F28" t="s">
        <v>6</v>
      </c>
      <c r="G28">
        <v>3</v>
      </c>
      <c r="H28" t="str">
        <f t="shared" si="0"/>
        <v>Isolate_1-39_3</v>
      </c>
      <c r="I28">
        <v>1</v>
      </c>
      <c r="J28" s="1">
        <v>5.7099999999999903E-3</v>
      </c>
      <c r="K28">
        <v>5.71</v>
      </c>
      <c r="L28">
        <v>1.122E-3</v>
      </c>
      <c r="M28">
        <v>1.1220000000000001</v>
      </c>
      <c r="N28">
        <v>5301.1736826840997</v>
      </c>
      <c r="O28" s="2">
        <v>1.0416667026219899</v>
      </c>
      <c r="P28">
        <v>5.9479168719715503</v>
      </c>
      <c r="Q28">
        <v>5.3011736826840998</v>
      </c>
    </row>
    <row r="29" spans="1:17" x14ac:dyDescent="0.25">
      <c r="A29">
        <v>2</v>
      </c>
      <c r="B29" t="s">
        <v>36</v>
      </c>
      <c r="C29">
        <v>2.8707406255933998</v>
      </c>
      <c r="D29">
        <v>0.55836665630340598</v>
      </c>
      <c r="E29" t="s">
        <v>5</v>
      </c>
      <c r="F29" t="s">
        <v>6</v>
      </c>
      <c r="G29">
        <v>3</v>
      </c>
      <c r="H29" t="str">
        <f t="shared" si="0"/>
        <v>Isolate_1-39_3</v>
      </c>
      <c r="I29">
        <v>2</v>
      </c>
      <c r="J29" s="1">
        <v>8.43E-3</v>
      </c>
      <c r="K29">
        <v>8.43</v>
      </c>
      <c r="L29">
        <v>1.25E-3</v>
      </c>
      <c r="M29">
        <v>1.25</v>
      </c>
      <c r="N29">
        <v>7176.8515639834905</v>
      </c>
      <c r="O29" s="2">
        <v>1.0641832093688499</v>
      </c>
      <c r="P29">
        <v>8.9710644549793699</v>
      </c>
      <c r="Q29">
        <v>7.1768515639834902</v>
      </c>
    </row>
    <row r="30" spans="1:17" x14ac:dyDescent="0.25">
      <c r="A30">
        <v>2</v>
      </c>
      <c r="B30" t="s">
        <v>37</v>
      </c>
      <c r="C30">
        <v>3.8185184973257602</v>
      </c>
      <c r="D30">
        <v>0.643666664759318</v>
      </c>
      <c r="E30" t="s">
        <v>5</v>
      </c>
      <c r="F30" t="s">
        <v>6</v>
      </c>
      <c r="G30">
        <v>3</v>
      </c>
      <c r="H30" t="str">
        <f t="shared" si="0"/>
        <v>Isolate_1-39_3</v>
      </c>
      <c r="I30">
        <v>3</v>
      </c>
      <c r="J30" s="1">
        <v>1.5990000000000001E-2</v>
      </c>
      <c r="K30">
        <v>15.99</v>
      </c>
      <c r="L30">
        <v>2.31E-3</v>
      </c>
      <c r="M30">
        <v>2.31</v>
      </c>
      <c r="N30">
        <v>5165.74472040822</v>
      </c>
      <c r="O30" s="2">
        <v>0.74627081326722899</v>
      </c>
      <c r="P30">
        <v>11.932870304143</v>
      </c>
      <c r="Q30">
        <v>5.1657447204082203</v>
      </c>
    </row>
    <row r="31" spans="1:17" x14ac:dyDescent="0.25">
      <c r="A31">
        <v>2</v>
      </c>
      <c r="B31" t="s">
        <v>38</v>
      </c>
      <c r="C31">
        <v>1.60703705416785</v>
      </c>
      <c r="D31">
        <v>0.44463333487510698</v>
      </c>
      <c r="E31" t="s">
        <v>5</v>
      </c>
      <c r="F31" t="s">
        <v>6</v>
      </c>
      <c r="G31">
        <v>3</v>
      </c>
      <c r="H31" t="str">
        <f t="shared" si="0"/>
        <v>Isolate_1-39_3</v>
      </c>
      <c r="I31">
        <v>4</v>
      </c>
      <c r="J31" s="1">
        <v>7.7299999999999904E-3</v>
      </c>
      <c r="K31">
        <v>7.73</v>
      </c>
      <c r="L31">
        <v>1.42E-3</v>
      </c>
      <c r="M31">
        <v>1.42</v>
      </c>
      <c r="N31">
        <v>3536.6132354046099</v>
      </c>
      <c r="O31" s="2">
        <v>0.64967539382594397</v>
      </c>
      <c r="P31">
        <v>5.0219907942745401</v>
      </c>
      <c r="Q31">
        <v>3.53661323540461</v>
      </c>
    </row>
    <row r="32" spans="1:17" x14ac:dyDescent="0.25">
      <c r="A32">
        <v>2</v>
      </c>
      <c r="B32" t="s">
        <v>39</v>
      </c>
      <c r="C32">
        <v>2.3488889358661802</v>
      </c>
      <c r="D32">
        <v>0.51140000422795595</v>
      </c>
      <c r="E32" t="s">
        <v>5</v>
      </c>
      <c r="F32" t="s">
        <v>14</v>
      </c>
      <c r="G32">
        <v>2</v>
      </c>
      <c r="H32" t="str">
        <f t="shared" si="0"/>
        <v>Isolate_1-40_2</v>
      </c>
      <c r="I32">
        <v>4</v>
      </c>
      <c r="J32" s="1">
        <v>8.9700000000000005E-3</v>
      </c>
      <c r="K32">
        <v>8.9700000000000006</v>
      </c>
      <c r="L32">
        <v>1.9300000000000001E-3</v>
      </c>
      <c r="M32">
        <v>1.93</v>
      </c>
      <c r="N32">
        <v>3803.2528106641498</v>
      </c>
      <c r="O32" s="2">
        <v>0.81831414989763795</v>
      </c>
      <c r="P32">
        <v>7.3402779245818097</v>
      </c>
      <c r="Q32">
        <v>3.8032528106641501</v>
      </c>
    </row>
    <row r="33" spans="1:17" x14ac:dyDescent="0.25">
      <c r="A33">
        <v>2</v>
      </c>
      <c r="B33" t="s">
        <v>40</v>
      </c>
      <c r="C33">
        <v>2.1194444431199</v>
      </c>
      <c r="D33">
        <v>0.49074999988079099</v>
      </c>
      <c r="E33" t="s">
        <v>5</v>
      </c>
      <c r="F33" t="s">
        <v>14</v>
      </c>
      <c r="G33">
        <v>2</v>
      </c>
      <c r="H33" t="str">
        <f t="shared" si="0"/>
        <v>Isolate_1-40_2</v>
      </c>
      <c r="I33">
        <v>5</v>
      </c>
      <c r="J33" s="1">
        <v>3.46E-3</v>
      </c>
      <c r="K33">
        <v>3.46</v>
      </c>
      <c r="L33">
        <v>1.25E-3</v>
      </c>
      <c r="M33">
        <v>1.25</v>
      </c>
      <c r="N33">
        <v>5298.6111077997402</v>
      </c>
      <c r="O33" s="2">
        <v>1.91423811697968</v>
      </c>
      <c r="P33">
        <v>6.6232638847496803</v>
      </c>
      <c r="Q33">
        <v>5.29861110779974</v>
      </c>
    </row>
    <row r="34" spans="1:17" x14ac:dyDescent="0.25">
      <c r="A34">
        <v>2</v>
      </c>
      <c r="B34" t="s">
        <v>41</v>
      </c>
      <c r="C34">
        <v>2.7418518728680099</v>
      </c>
      <c r="D34">
        <v>0.54676666855812095</v>
      </c>
      <c r="E34" t="s">
        <v>5</v>
      </c>
      <c r="F34" t="s">
        <v>14</v>
      </c>
      <c r="G34">
        <v>3</v>
      </c>
      <c r="H34" t="str">
        <f t="shared" si="0"/>
        <v>Isolate_1-40_3</v>
      </c>
      <c r="I34">
        <v>1</v>
      </c>
      <c r="J34" s="1">
        <v>1.155E-2</v>
      </c>
      <c r="K34">
        <v>11.55</v>
      </c>
      <c r="L34">
        <v>2.1199999999999999E-3</v>
      </c>
      <c r="M34">
        <v>2.12</v>
      </c>
      <c r="N34">
        <v>4041.6448597700601</v>
      </c>
      <c r="O34" s="2">
        <v>0.74184303919589001</v>
      </c>
      <c r="P34">
        <v>8.5682871027125298</v>
      </c>
      <c r="Q34">
        <v>4.0416448597700603</v>
      </c>
    </row>
    <row r="35" spans="1:17" x14ac:dyDescent="0.25">
      <c r="A35">
        <v>2</v>
      </c>
      <c r="B35" t="s">
        <v>42</v>
      </c>
      <c r="C35">
        <v>2.0025926828384399</v>
      </c>
      <c r="D35">
        <v>0.48023334145545998</v>
      </c>
      <c r="E35" t="s">
        <v>5</v>
      </c>
      <c r="F35" t="s">
        <v>14</v>
      </c>
      <c r="G35">
        <v>3</v>
      </c>
      <c r="H35" t="str">
        <f t="shared" si="0"/>
        <v>Isolate_1-40_3</v>
      </c>
      <c r="I35">
        <v>2</v>
      </c>
      <c r="J35" s="1">
        <v>5.62E-3</v>
      </c>
      <c r="K35">
        <v>5.62</v>
      </c>
      <c r="L35">
        <v>1.6100000000000001E-3</v>
      </c>
      <c r="M35">
        <v>1.61</v>
      </c>
      <c r="N35">
        <v>3887.0199589255399</v>
      </c>
      <c r="O35" s="2">
        <v>1.1135413049591001</v>
      </c>
      <c r="P35">
        <v>6.2581021338701204</v>
      </c>
      <c r="Q35">
        <v>3.8870199589255399</v>
      </c>
    </row>
    <row r="36" spans="1:17" x14ac:dyDescent="0.25">
      <c r="A36">
        <v>2</v>
      </c>
      <c r="B36" t="s">
        <v>43</v>
      </c>
      <c r="C36">
        <v>3.9007406764560302</v>
      </c>
      <c r="D36">
        <v>0.65106666088104204</v>
      </c>
      <c r="E36" t="s">
        <v>5</v>
      </c>
      <c r="F36" t="s">
        <v>14</v>
      </c>
      <c r="G36">
        <v>3</v>
      </c>
      <c r="H36" t="str">
        <f t="shared" si="0"/>
        <v>Isolate_1-40_3</v>
      </c>
      <c r="I36">
        <v>3</v>
      </c>
      <c r="J36" s="1">
        <v>1.7520000000000001E-2</v>
      </c>
      <c r="K36">
        <v>17.52</v>
      </c>
      <c r="L36">
        <v>2.3500000000000001E-3</v>
      </c>
      <c r="M36">
        <v>2.35</v>
      </c>
      <c r="N36">
        <v>5187.1551548617399</v>
      </c>
      <c r="O36" s="2">
        <v>0.69576567431079295</v>
      </c>
      <c r="P36">
        <v>12.189814613925099</v>
      </c>
      <c r="Q36">
        <v>5.1871551548617401</v>
      </c>
    </row>
    <row r="37" spans="1:17" x14ac:dyDescent="0.25">
      <c r="A37">
        <v>2</v>
      </c>
      <c r="B37" t="s">
        <v>44</v>
      </c>
      <c r="C37">
        <v>2.07555561153977</v>
      </c>
      <c r="D37">
        <v>0.48680000503857901</v>
      </c>
      <c r="E37" t="s">
        <v>5</v>
      </c>
      <c r="F37" t="s">
        <v>14</v>
      </c>
      <c r="G37">
        <v>3</v>
      </c>
      <c r="H37" t="str">
        <f t="shared" si="0"/>
        <v>Isolate_1-40_3</v>
      </c>
      <c r="I37">
        <v>4</v>
      </c>
      <c r="J37" s="1">
        <v>1.388E-2</v>
      </c>
      <c r="K37">
        <v>13.88</v>
      </c>
      <c r="L37">
        <v>1.6800000000000001E-3</v>
      </c>
      <c r="M37">
        <v>1.68</v>
      </c>
      <c r="N37">
        <v>3860.7805274177299</v>
      </c>
      <c r="O37" s="2">
        <v>0.46729908401021503</v>
      </c>
      <c r="P37">
        <v>6.4861112860617798</v>
      </c>
      <c r="Q37">
        <v>3.86078052741773</v>
      </c>
    </row>
    <row r="38" spans="1:17" x14ac:dyDescent="0.25">
      <c r="A38">
        <v>2</v>
      </c>
      <c r="B38" t="s">
        <v>45</v>
      </c>
      <c r="C38">
        <v>2.75259251947756</v>
      </c>
      <c r="D38">
        <v>0.54773332675298103</v>
      </c>
      <c r="E38" t="s">
        <v>5</v>
      </c>
      <c r="F38" t="s">
        <v>14</v>
      </c>
      <c r="G38">
        <v>3</v>
      </c>
      <c r="H38" t="str">
        <f t="shared" si="0"/>
        <v>Isolate_1-40_3</v>
      </c>
      <c r="I38">
        <v>5</v>
      </c>
      <c r="J38" s="1">
        <v>1.081E-2</v>
      </c>
      <c r="K38">
        <v>10.81</v>
      </c>
      <c r="L38">
        <v>1.6999999999999999E-3</v>
      </c>
      <c r="M38">
        <v>1.7</v>
      </c>
      <c r="N38">
        <v>5059.9127196278696</v>
      </c>
      <c r="O38" s="2">
        <v>0.79573095498310598</v>
      </c>
      <c r="P38">
        <v>8.6018516233673807</v>
      </c>
      <c r="Q38">
        <v>5.0599127196278699</v>
      </c>
    </row>
    <row r="39" spans="1:17" x14ac:dyDescent="0.25">
      <c r="A39">
        <v>2</v>
      </c>
      <c r="B39" t="s">
        <v>46</v>
      </c>
      <c r="C39">
        <v>0.82296300817418999</v>
      </c>
      <c r="D39">
        <v>0.37406667073567701</v>
      </c>
      <c r="E39" t="s">
        <v>5</v>
      </c>
      <c r="F39" t="s">
        <v>23</v>
      </c>
      <c r="G39">
        <v>2</v>
      </c>
      <c r="H39" t="str">
        <f t="shared" si="0"/>
        <v>NI_2</v>
      </c>
      <c r="I39">
        <v>4</v>
      </c>
      <c r="J39" s="1">
        <v>7.7600000000000004E-3</v>
      </c>
      <c r="K39">
        <v>7.76</v>
      </c>
      <c r="L39">
        <v>1.8E-3</v>
      </c>
      <c r="M39">
        <v>1.8</v>
      </c>
      <c r="N39">
        <v>1428.75522252464</v>
      </c>
      <c r="O39" s="2">
        <v>0.33141229388457999</v>
      </c>
      <c r="P39">
        <v>2.57175940054434</v>
      </c>
      <c r="Q39">
        <v>1.42875522252464</v>
      </c>
    </row>
    <row r="40" spans="1:17" x14ac:dyDescent="0.25">
      <c r="A40">
        <v>2</v>
      </c>
      <c r="B40" t="s">
        <v>47</v>
      </c>
      <c r="C40">
        <v>1.01185189353095</v>
      </c>
      <c r="D40">
        <v>0.39106667041778598</v>
      </c>
      <c r="E40" t="s">
        <v>5</v>
      </c>
      <c r="F40" t="s">
        <v>23</v>
      </c>
      <c r="G40">
        <v>2</v>
      </c>
      <c r="H40" t="str">
        <f t="shared" si="0"/>
        <v>NI_2</v>
      </c>
      <c r="I40">
        <v>5</v>
      </c>
      <c r="J40" s="1">
        <v>1.013E-2</v>
      </c>
      <c r="K40">
        <v>10.130000000000001</v>
      </c>
      <c r="L40">
        <v>1.82E-3</v>
      </c>
      <c r="M40">
        <v>1.82</v>
      </c>
      <c r="N40">
        <v>1737.3830589473801</v>
      </c>
      <c r="O40" s="2">
        <v>0.312145821054711</v>
      </c>
      <c r="P40">
        <v>3.16203716728422</v>
      </c>
      <c r="Q40">
        <v>1.73738305894738</v>
      </c>
    </row>
    <row r="41" spans="1:17" x14ac:dyDescent="0.25">
      <c r="A41">
        <v>2</v>
      </c>
      <c r="B41" t="s">
        <v>48</v>
      </c>
      <c r="C41">
        <v>0.31629626397733301</v>
      </c>
      <c r="D41">
        <v>0.32846666375796002</v>
      </c>
      <c r="E41" t="s">
        <v>5</v>
      </c>
      <c r="F41" t="s">
        <v>23</v>
      </c>
      <c r="G41">
        <v>3</v>
      </c>
      <c r="H41" t="str">
        <f t="shared" si="0"/>
        <v>NI_3</v>
      </c>
      <c r="I41">
        <v>1</v>
      </c>
      <c r="J41" s="1">
        <v>3.62E-3</v>
      </c>
      <c r="K41">
        <v>3.62</v>
      </c>
      <c r="L41">
        <v>1.0300000000000001E-3</v>
      </c>
      <c r="M41">
        <v>1.03</v>
      </c>
      <c r="N41">
        <v>959.63672323220101</v>
      </c>
      <c r="O41" s="2">
        <v>0.27304580799148298</v>
      </c>
      <c r="P41">
        <v>0.98842582492916697</v>
      </c>
      <c r="Q41">
        <v>0.95963672323220095</v>
      </c>
    </row>
    <row r="42" spans="1:17" x14ac:dyDescent="0.25">
      <c r="A42">
        <v>2</v>
      </c>
      <c r="B42" t="s">
        <v>49</v>
      </c>
      <c r="C42">
        <v>0.99666661686367497</v>
      </c>
      <c r="D42">
        <v>0.38969999551773099</v>
      </c>
      <c r="E42" t="s">
        <v>5</v>
      </c>
      <c r="F42" t="s">
        <v>23</v>
      </c>
      <c r="G42">
        <v>3</v>
      </c>
      <c r="H42" t="str">
        <f t="shared" si="0"/>
        <v>NI_3</v>
      </c>
      <c r="I42">
        <v>2</v>
      </c>
      <c r="J42" s="1">
        <v>8.2299999999999908E-3</v>
      </c>
      <c r="K42">
        <v>8.23</v>
      </c>
      <c r="L42">
        <v>2.2200000000000002E-3</v>
      </c>
      <c r="M42">
        <v>2.2200000000000002</v>
      </c>
      <c r="N42">
        <v>1402.9653953599</v>
      </c>
      <c r="O42" s="2">
        <v>0.37844267043730101</v>
      </c>
      <c r="P42">
        <v>3.1145831776989801</v>
      </c>
      <c r="Q42">
        <v>1.4029653953598999</v>
      </c>
    </row>
    <row r="43" spans="1:17" x14ac:dyDescent="0.25">
      <c r="A43">
        <v>2</v>
      </c>
      <c r="B43" t="s">
        <v>50</v>
      </c>
      <c r="C43">
        <v>0.92111110687255904</v>
      </c>
      <c r="D43">
        <v>0.38289999961853</v>
      </c>
      <c r="E43" t="s">
        <v>5</v>
      </c>
      <c r="F43" t="s">
        <v>23</v>
      </c>
      <c r="G43">
        <v>3</v>
      </c>
      <c r="H43" t="str">
        <f t="shared" si="0"/>
        <v>NI_3</v>
      </c>
      <c r="I43">
        <v>3</v>
      </c>
      <c r="J43" s="1">
        <v>7.9000000000000008E-3</v>
      </c>
      <c r="K43">
        <v>7.9</v>
      </c>
      <c r="L43">
        <v>2.14E-3</v>
      </c>
      <c r="M43">
        <v>2.14</v>
      </c>
      <c r="N43">
        <v>1345.0804714844601</v>
      </c>
      <c r="O43" s="2">
        <v>0.36436357075655001</v>
      </c>
      <c r="P43">
        <v>2.87847220897675</v>
      </c>
      <c r="Q43">
        <v>1.34508047148446</v>
      </c>
    </row>
    <row r="44" spans="1:17" x14ac:dyDescent="0.25">
      <c r="A44">
        <v>2</v>
      </c>
      <c r="B44" t="s">
        <v>51</v>
      </c>
      <c r="C44">
        <v>0.70259264221897799</v>
      </c>
      <c r="D44">
        <v>0.36323333779970801</v>
      </c>
      <c r="E44" t="s">
        <v>5</v>
      </c>
      <c r="F44" t="s">
        <v>23</v>
      </c>
      <c r="G44">
        <v>3</v>
      </c>
      <c r="H44" t="str">
        <f t="shared" si="0"/>
        <v>NI_3</v>
      </c>
      <c r="I44">
        <v>4</v>
      </c>
      <c r="J44" s="1">
        <v>5.7499999999999904E-3</v>
      </c>
      <c r="K44">
        <v>5.75</v>
      </c>
      <c r="L44">
        <v>1.42E-3</v>
      </c>
      <c r="M44">
        <v>1.42</v>
      </c>
      <c r="N44">
        <v>1546.19859643261</v>
      </c>
      <c r="O44" s="2">
        <v>0.38184382729292299</v>
      </c>
      <c r="P44">
        <v>2.1956020069343101</v>
      </c>
      <c r="Q44">
        <v>1.5461985964326099</v>
      </c>
    </row>
    <row r="45" spans="1:17" x14ac:dyDescent="0.25">
      <c r="A45">
        <v>2</v>
      </c>
      <c r="B45" t="s">
        <v>52</v>
      </c>
      <c r="C45">
        <v>1.0214814654102999</v>
      </c>
      <c r="D45">
        <v>0.39193333188692703</v>
      </c>
      <c r="E45" t="s">
        <v>5</v>
      </c>
      <c r="F45" t="s">
        <v>23</v>
      </c>
      <c r="G45">
        <v>3</v>
      </c>
      <c r="H45" t="str">
        <f t="shared" si="0"/>
        <v>NI_3</v>
      </c>
      <c r="I45">
        <v>5</v>
      </c>
      <c r="J45" s="1">
        <v>1.11299999999999E-2</v>
      </c>
      <c r="K45">
        <v>11.13</v>
      </c>
      <c r="L45">
        <v>1.9499999999999999E-3</v>
      </c>
      <c r="M45">
        <v>1.95</v>
      </c>
      <c r="N45">
        <v>1636.98952790113</v>
      </c>
      <c r="O45" s="2">
        <v>0.28680409518483402</v>
      </c>
      <c r="P45">
        <v>3.1921295794072</v>
      </c>
      <c r="Q45">
        <v>1.6369895279011299</v>
      </c>
    </row>
    <row r="46" spans="1:17" x14ac:dyDescent="0.25">
      <c r="A46">
        <v>2</v>
      </c>
      <c r="B46" t="s">
        <v>53</v>
      </c>
      <c r="C46">
        <v>1.9159259884445801</v>
      </c>
      <c r="D46">
        <v>0.482433338960012</v>
      </c>
      <c r="E46" t="s">
        <v>5</v>
      </c>
      <c r="F46" t="s">
        <v>6</v>
      </c>
      <c r="G46">
        <v>3</v>
      </c>
      <c r="H46" t="str">
        <f t="shared" si="0"/>
        <v>Isolate_1-39_3</v>
      </c>
      <c r="I46">
        <v>5</v>
      </c>
      <c r="J46" s="1">
        <v>8.5400000000000007E-3</v>
      </c>
      <c r="K46">
        <v>8.5399999999999991</v>
      </c>
      <c r="L46">
        <v>1.2899999999999999E-3</v>
      </c>
      <c r="M46">
        <v>1.29</v>
      </c>
      <c r="N46">
        <v>4641.2935766583696</v>
      </c>
      <c r="O46" s="2">
        <v>0.70108532949523406</v>
      </c>
      <c r="P46">
        <v>5.9872687138892999</v>
      </c>
      <c r="Q46">
        <v>4.6412935766583701</v>
      </c>
    </row>
    <row r="47" spans="1:17" x14ac:dyDescent="0.25">
      <c r="A47">
        <v>2</v>
      </c>
      <c r="B47" t="s">
        <v>54</v>
      </c>
      <c r="C47">
        <v>1.1885184093757899</v>
      </c>
      <c r="D47">
        <v>0.416966656843821</v>
      </c>
      <c r="E47" t="s">
        <v>5</v>
      </c>
      <c r="F47" t="s">
        <v>6</v>
      </c>
      <c r="G47">
        <v>4</v>
      </c>
      <c r="H47" t="str">
        <f t="shared" si="0"/>
        <v>Isolate_1-39_4</v>
      </c>
      <c r="I47">
        <v>1</v>
      </c>
      <c r="J47" s="1">
        <v>3.5899999999999899E-3</v>
      </c>
      <c r="K47">
        <v>3.59</v>
      </c>
      <c r="L47">
        <v>1.2999999999999999E-3</v>
      </c>
      <c r="M47">
        <v>1.3</v>
      </c>
      <c r="N47">
        <v>2857.0154071533402</v>
      </c>
      <c r="O47" s="2">
        <v>1.0345738243173701</v>
      </c>
      <c r="P47">
        <v>3.7141200292993499</v>
      </c>
      <c r="Q47">
        <v>2.85701540715334</v>
      </c>
    </row>
    <row r="48" spans="1:17" x14ac:dyDescent="0.25">
      <c r="A48">
        <v>2</v>
      </c>
      <c r="B48" t="s">
        <v>55</v>
      </c>
      <c r="C48">
        <v>0.96000005139244904</v>
      </c>
      <c r="D48">
        <v>0.39640000462531999</v>
      </c>
      <c r="E48" t="s">
        <v>5</v>
      </c>
      <c r="F48" t="s">
        <v>6</v>
      </c>
      <c r="G48">
        <v>4</v>
      </c>
      <c r="H48" t="str">
        <f t="shared" si="0"/>
        <v>Isolate_1-39_4</v>
      </c>
      <c r="I48">
        <v>2</v>
      </c>
      <c r="J48" s="1">
        <v>4.1599999999999901E-3</v>
      </c>
      <c r="K48">
        <v>4.16</v>
      </c>
      <c r="L48">
        <v>8.0999999999999996E-4</v>
      </c>
      <c r="M48">
        <v>0.81</v>
      </c>
      <c r="N48">
        <v>3703.70390197704</v>
      </c>
      <c r="O48" s="2">
        <v>0.72115388475995301</v>
      </c>
      <c r="P48">
        <v>3.0000001606014002</v>
      </c>
      <c r="Q48">
        <v>3.7037039019770401</v>
      </c>
    </row>
    <row r="49" spans="1:17" x14ac:dyDescent="0.25">
      <c r="A49">
        <v>2</v>
      </c>
      <c r="B49" t="s">
        <v>56</v>
      </c>
      <c r="C49">
        <v>1.4670371170397201</v>
      </c>
      <c r="D49">
        <v>0.44203334053357402</v>
      </c>
      <c r="E49" t="s">
        <v>5</v>
      </c>
      <c r="F49" t="s">
        <v>6</v>
      </c>
      <c r="G49">
        <v>4</v>
      </c>
      <c r="H49" t="str">
        <f t="shared" si="0"/>
        <v>Isolate_1-39_4</v>
      </c>
      <c r="I49">
        <v>3</v>
      </c>
      <c r="J49" s="1">
        <v>4.4900000000000001E-3</v>
      </c>
      <c r="K49">
        <v>4.49</v>
      </c>
      <c r="L49">
        <v>9.7999999999999997E-4</v>
      </c>
      <c r="M49">
        <v>0.98</v>
      </c>
      <c r="N49">
        <v>4678.0520313766401</v>
      </c>
      <c r="O49" s="2">
        <v>1.02104476408666</v>
      </c>
      <c r="P49">
        <v>4.58449099074911</v>
      </c>
      <c r="Q49">
        <v>4.6780520313766401</v>
      </c>
    </row>
    <row r="50" spans="1:17" x14ac:dyDescent="0.25">
      <c r="A50">
        <v>2</v>
      </c>
      <c r="B50" t="s">
        <v>57</v>
      </c>
      <c r="C50">
        <v>1.24000004485801</v>
      </c>
      <c r="D50">
        <v>0.42160000403722098</v>
      </c>
      <c r="E50" t="s">
        <v>5</v>
      </c>
      <c r="F50" t="s">
        <v>6</v>
      </c>
      <c r="G50">
        <v>4</v>
      </c>
      <c r="H50" t="str">
        <f t="shared" si="0"/>
        <v>Isolate_1-39_4</v>
      </c>
      <c r="I50">
        <v>4</v>
      </c>
      <c r="J50" s="1">
        <v>6.1700000000000001E-3</v>
      </c>
      <c r="K50">
        <v>6.17</v>
      </c>
      <c r="L50">
        <v>1.24E-3</v>
      </c>
      <c r="M50">
        <v>1.24</v>
      </c>
      <c r="N50">
        <v>3125.0001130494302</v>
      </c>
      <c r="O50" s="2">
        <v>0.62803892061285205</v>
      </c>
      <c r="P50">
        <v>3.8750001401812901</v>
      </c>
      <c r="Q50">
        <v>3.1250001130494298</v>
      </c>
    </row>
    <row r="51" spans="1:17" x14ac:dyDescent="0.25">
      <c r="A51">
        <v>2</v>
      </c>
      <c r="B51" t="s">
        <v>58</v>
      </c>
      <c r="C51">
        <v>1.7933332522710199</v>
      </c>
      <c r="D51">
        <v>0.47139999270439098</v>
      </c>
      <c r="E51" t="s">
        <v>5</v>
      </c>
      <c r="F51" t="s">
        <v>6</v>
      </c>
      <c r="G51">
        <v>4</v>
      </c>
      <c r="H51" t="str">
        <f t="shared" si="0"/>
        <v>Isolate_1-39_4</v>
      </c>
      <c r="I51">
        <v>5</v>
      </c>
      <c r="J51" s="1">
        <v>6.3200000000000001E-3</v>
      </c>
      <c r="K51">
        <v>6.32</v>
      </c>
      <c r="L51">
        <v>1.2899999999999999E-3</v>
      </c>
      <c r="M51">
        <v>1.29</v>
      </c>
      <c r="N51">
        <v>4344.3150491061497</v>
      </c>
      <c r="O51" s="2">
        <v>0.88673519198527295</v>
      </c>
      <c r="P51">
        <v>5.6041664133469302</v>
      </c>
      <c r="Q51">
        <v>4.3443150491061404</v>
      </c>
    </row>
    <row r="52" spans="1:17" x14ac:dyDescent="0.25">
      <c r="A52">
        <v>2</v>
      </c>
      <c r="B52" t="s">
        <v>59</v>
      </c>
      <c r="C52">
        <v>1.9018517865075</v>
      </c>
      <c r="D52">
        <v>0.48116666078567499</v>
      </c>
      <c r="E52" t="s">
        <v>5</v>
      </c>
      <c r="F52" t="s">
        <v>6</v>
      </c>
      <c r="G52">
        <v>5</v>
      </c>
      <c r="H52" t="str">
        <f t="shared" si="0"/>
        <v>Isolate_1-39_5</v>
      </c>
      <c r="I52">
        <v>1</v>
      </c>
      <c r="J52" s="1">
        <v>9.8200000000000006E-3</v>
      </c>
      <c r="K52">
        <v>9.82</v>
      </c>
      <c r="L52">
        <v>2.2300000000000002E-3</v>
      </c>
      <c r="M52">
        <v>2.23</v>
      </c>
      <c r="N52">
        <v>2665.15104611477</v>
      </c>
      <c r="O52" s="2">
        <v>0.60522269173482102</v>
      </c>
      <c r="P52">
        <v>5.9432868328359403</v>
      </c>
      <c r="Q52">
        <v>2.6651510461147701</v>
      </c>
    </row>
    <row r="53" spans="1:17" x14ac:dyDescent="0.25">
      <c r="A53">
        <v>2</v>
      </c>
      <c r="B53" t="s">
        <v>60</v>
      </c>
      <c r="C53">
        <v>1.5774073689072201</v>
      </c>
      <c r="D53">
        <v>0.45196666320165002</v>
      </c>
      <c r="E53" t="s">
        <v>5</v>
      </c>
      <c r="F53" t="s">
        <v>6</v>
      </c>
      <c r="G53">
        <v>5</v>
      </c>
      <c r="H53" t="str">
        <f t="shared" si="0"/>
        <v>Isolate_1-39_5</v>
      </c>
      <c r="I53">
        <v>2</v>
      </c>
      <c r="J53" s="1">
        <v>8.8299999999999906E-3</v>
      </c>
      <c r="K53">
        <v>8.83</v>
      </c>
      <c r="L53">
        <v>1.7700000000000001E-3</v>
      </c>
      <c r="M53">
        <v>1.77</v>
      </c>
      <c r="N53">
        <v>2784.9706371949501</v>
      </c>
      <c r="O53" s="2">
        <v>0.55825572229162701</v>
      </c>
      <c r="P53">
        <v>4.9293980278350702</v>
      </c>
      <c r="Q53">
        <v>2.7849706371949501</v>
      </c>
    </row>
    <row r="54" spans="1:17" x14ac:dyDescent="0.25">
      <c r="A54">
        <v>2</v>
      </c>
      <c r="B54" t="s">
        <v>61</v>
      </c>
      <c r="C54">
        <v>1.4396295768243299</v>
      </c>
      <c r="D54">
        <v>0.43956666191419003</v>
      </c>
      <c r="E54" t="s">
        <v>5</v>
      </c>
      <c r="F54" t="s">
        <v>14</v>
      </c>
      <c r="G54">
        <v>4</v>
      </c>
      <c r="H54" t="str">
        <f t="shared" si="0"/>
        <v>Isolate_1-40_4</v>
      </c>
      <c r="I54">
        <v>1</v>
      </c>
      <c r="J54" s="1">
        <v>7.1300000000000001E-3</v>
      </c>
      <c r="K54">
        <v>7.13</v>
      </c>
      <c r="L54">
        <v>1.01E-3</v>
      </c>
      <c r="M54">
        <v>1.01</v>
      </c>
      <c r="N54">
        <v>4454.2994332435901</v>
      </c>
      <c r="O54" s="2">
        <v>0.63097369250715696</v>
      </c>
      <c r="P54">
        <v>4.4988424275760304</v>
      </c>
      <c r="Q54">
        <v>4.4542994332435901</v>
      </c>
    </row>
    <row r="55" spans="1:17" x14ac:dyDescent="0.25">
      <c r="A55">
        <v>2</v>
      </c>
      <c r="B55" t="s">
        <v>62</v>
      </c>
      <c r="C55">
        <v>2.61481473180983</v>
      </c>
      <c r="D55">
        <v>0.54533332586288497</v>
      </c>
      <c r="E55" t="s">
        <v>5</v>
      </c>
      <c r="F55" t="s">
        <v>14</v>
      </c>
      <c r="G55">
        <v>4</v>
      </c>
      <c r="H55" t="str">
        <f t="shared" si="0"/>
        <v>Isolate_1-40_4</v>
      </c>
      <c r="I55">
        <v>2</v>
      </c>
      <c r="J55" s="1">
        <v>1.434E-2</v>
      </c>
      <c r="K55">
        <v>14.34</v>
      </c>
      <c r="L55">
        <v>2.4299999999999999E-3</v>
      </c>
      <c r="M55">
        <v>2.4300000000000002</v>
      </c>
      <c r="N55">
        <v>3362.6732662163399</v>
      </c>
      <c r="O55" s="2">
        <v>0.56982538611615896</v>
      </c>
      <c r="P55">
        <v>8.1712960369057104</v>
      </c>
      <c r="Q55">
        <v>3.3626732662163401</v>
      </c>
    </row>
    <row r="56" spans="1:17" x14ac:dyDescent="0.25">
      <c r="A56">
        <v>2</v>
      </c>
      <c r="B56" t="s">
        <v>63</v>
      </c>
      <c r="C56">
        <v>2.3700001328079798</v>
      </c>
      <c r="D56">
        <v>0.52330001195271802</v>
      </c>
      <c r="E56" t="s">
        <v>5</v>
      </c>
      <c r="F56" t="s">
        <v>14</v>
      </c>
      <c r="G56">
        <v>4</v>
      </c>
      <c r="H56" t="str">
        <f t="shared" si="0"/>
        <v>Isolate_1-40_4</v>
      </c>
      <c r="I56">
        <v>3</v>
      </c>
      <c r="J56" s="1">
        <v>1.193E-2</v>
      </c>
      <c r="K56">
        <v>11.93</v>
      </c>
      <c r="L56">
        <v>2.2499999999999998E-3</v>
      </c>
      <c r="M56">
        <v>2.25</v>
      </c>
      <c r="N56">
        <v>3291.6668511221901</v>
      </c>
      <c r="O56" s="2">
        <v>0.62080891995179699</v>
      </c>
      <c r="P56">
        <v>7.40625041502493</v>
      </c>
      <c r="Q56">
        <v>3.2916668511221898</v>
      </c>
    </row>
    <row r="57" spans="1:17" x14ac:dyDescent="0.25">
      <c r="A57">
        <v>2</v>
      </c>
      <c r="B57" t="s">
        <v>64</v>
      </c>
      <c r="C57">
        <v>1.5718517744982701</v>
      </c>
      <c r="D57">
        <v>0.45146665970484401</v>
      </c>
      <c r="E57" t="s">
        <v>5</v>
      </c>
      <c r="F57" t="s">
        <v>14</v>
      </c>
      <c r="G57">
        <v>4</v>
      </c>
      <c r="H57" t="str">
        <f t="shared" si="0"/>
        <v>Isolate_1-40_4</v>
      </c>
      <c r="I57">
        <v>4</v>
      </c>
      <c r="J57" s="1">
        <v>9.3100000000000006E-3</v>
      </c>
      <c r="K57">
        <v>9.31</v>
      </c>
      <c r="L57">
        <v>1.6000000000000001E-3</v>
      </c>
      <c r="M57">
        <v>1.6</v>
      </c>
      <c r="N57">
        <v>3070.0229970669302</v>
      </c>
      <c r="O57" s="2">
        <v>0.52760867833588498</v>
      </c>
      <c r="P57">
        <v>4.91203679530709</v>
      </c>
      <c r="Q57">
        <v>3.0700229970669302</v>
      </c>
    </row>
    <row r="58" spans="1:17" x14ac:dyDescent="0.25">
      <c r="A58">
        <v>2</v>
      </c>
      <c r="B58" t="s">
        <v>65</v>
      </c>
      <c r="C58">
        <v>2.9003704300633202</v>
      </c>
      <c r="D58">
        <v>0.57103333870569895</v>
      </c>
      <c r="E58" t="s">
        <v>5</v>
      </c>
      <c r="F58" t="s">
        <v>14</v>
      </c>
      <c r="G58">
        <v>4</v>
      </c>
      <c r="H58" t="str">
        <f t="shared" si="0"/>
        <v>Isolate_1-40_4</v>
      </c>
      <c r="I58">
        <v>5</v>
      </c>
      <c r="J58" s="1">
        <v>1.42799999999999E-2</v>
      </c>
      <c r="K58">
        <v>14.28</v>
      </c>
      <c r="L58">
        <v>2.6800000000000001E-3</v>
      </c>
      <c r="M58">
        <v>2.68</v>
      </c>
      <c r="N58">
        <v>3381.9617887865202</v>
      </c>
      <c r="O58" s="2">
        <v>0.63470991554256795</v>
      </c>
      <c r="P58">
        <v>9.0636575939478696</v>
      </c>
      <c r="Q58">
        <v>3.3819617887865201</v>
      </c>
    </row>
    <row r="59" spans="1:17" x14ac:dyDescent="0.25">
      <c r="A59">
        <v>2</v>
      </c>
      <c r="B59" t="s">
        <v>66</v>
      </c>
      <c r="C59">
        <v>2.9929629343527302</v>
      </c>
      <c r="D59">
        <v>0.57936666409174598</v>
      </c>
      <c r="E59" t="s">
        <v>5</v>
      </c>
      <c r="F59" t="s">
        <v>14</v>
      </c>
      <c r="G59">
        <v>5</v>
      </c>
      <c r="H59" t="str">
        <f t="shared" si="0"/>
        <v>Isolate_1-40_5</v>
      </c>
      <c r="I59">
        <v>1</v>
      </c>
      <c r="J59" s="1">
        <v>9.8300000000000002E-3</v>
      </c>
      <c r="K59">
        <v>9.83</v>
      </c>
      <c r="L59">
        <v>1.8400000000000001E-3</v>
      </c>
      <c r="M59">
        <v>1.84</v>
      </c>
      <c r="N59">
        <v>5083.1571575284197</v>
      </c>
      <c r="O59" s="2">
        <v>0.95147600914062003</v>
      </c>
      <c r="P59">
        <v>9.3530091698522906</v>
      </c>
      <c r="Q59">
        <v>5.0831571575284196</v>
      </c>
    </row>
    <row r="60" spans="1:17" x14ac:dyDescent="0.25">
      <c r="A60">
        <v>2</v>
      </c>
      <c r="B60" t="s">
        <v>67</v>
      </c>
      <c r="C60">
        <v>1.96999998445864</v>
      </c>
      <c r="D60">
        <v>0.48729999860127798</v>
      </c>
      <c r="E60" t="s">
        <v>5</v>
      </c>
      <c r="F60" t="s">
        <v>14</v>
      </c>
      <c r="G60">
        <v>5</v>
      </c>
      <c r="H60" t="str">
        <f t="shared" si="0"/>
        <v>Isolate_1-40_5</v>
      </c>
      <c r="I60">
        <v>2</v>
      </c>
      <c r="J60" s="1">
        <v>8.2900000000000005E-3</v>
      </c>
      <c r="K60">
        <v>8.2899999999999991</v>
      </c>
      <c r="L60">
        <v>1.98E-3</v>
      </c>
      <c r="M60">
        <v>1.98</v>
      </c>
      <c r="N60">
        <v>3109.2171471885099</v>
      </c>
      <c r="O60" s="2">
        <v>0.74261157435865499</v>
      </c>
      <c r="P60">
        <v>6.1562499514332503</v>
      </c>
      <c r="Q60">
        <v>3.1092171471885099</v>
      </c>
    </row>
    <row r="61" spans="1:17" x14ac:dyDescent="0.25">
      <c r="A61">
        <v>2</v>
      </c>
      <c r="B61" t="s">
        <v>68</v>
      </c>
      <c r="C61">
        <v>0.39222221021298997</v>
      </c>
      <c r="D61">
        <v>0.34529999891916902</v>
      </c>
      <c r="E61" t="s">
        <v>5</v>
      </c>
      <c r="F61" t="s">
        <v>23</v>
      </c>
      <c r="G61">
        <v>4</v>
      </c>
      <c r="H61" t="str">
        <f t="shared" si="0"/>
        <v>NI_4</v>
      </c>
      <c r="I61">
        <v>1</v>
      </c>
      <c r="J61" s="1">
        <v>2.2399999999999898E-3</v>
      </c>
      <c r="K61">
        <v>2.2400000000000002</v>
      </c>
      <c r="L61">
        <v>8.1999999999999998E-4</v>
      </c>
      <c r="M61">
        <v>0.82</v>
      </c>
      <c r="N61">
        <v>1494.74927672633</v>
      </c>
      <c r="O61" s="2">
        <v>0.54718500308731899</v>
      </c>
      <c r="P61">
        <v>1.22569440691559</v>
      </c>
      <c r="Q61">
        <v>1.49474927672633</v>
      </c>
    </row>
    <row r="62" spans="1:17" x14ac:dyDescent="0.25">
      <c r="A62">
        <v>2</v>
      </c>
      <c r="B62" t="s">
        <v>69</v>
      </c>
      <c r="C62">
        <v>1.36481470973403</v>
      </c>
      <c r="D62">
        <v>0.43283332387606299</v>
      </c>
      <c r="E62" t="s">
        <v>5</v>
      </c>
      <c r="F62" t="s">
        <v>23</v>
      </c>
      <c r="G62">
        <v>4</v>
      </c>
      <c r="H62" t="str">
        <f t="shared" si="0"/>
        <v>NI_4</v>
      </c>
      <c r="I62">
        <v>2</v>
      </c>
      <c r="J62" s="1">
        <v>1.363E-2</v>
      </c>
      <c r="K62">
        <v>13.63</v>
      </c>
      <c r="L62">
        <v>3.0799999999999998E-3</v>
      </c>
      <c r="M62">
        <v>3.08</v>
      </c>
      <c r="N62">
        <v>1384.75518438924</v>
      </c>
      <c r="O62" s="2">
        <v>0.31291606514444997</v>
      </c>
      <c r="P62">
        <v>4.2650459679188604</v>
      </c>
      <c r="Q62">
        <v>1.3847551843892401</v>
      </c>
    </row>
    <row r="63" spans="1:17" x14ac:dyDescent="0.25">
      <c r="A63">
        <v>2</v>
      </c>
      <c r="B63" t="s">
        <v>70</v>
      </c>
      <c r="C63">
        <v>0.516666664017571</v>
      </c>
      <c r="D63">
        <v>0.35649999976158098</v>
      </c>
      <c r="E63" t="s">
        <v>5</v>
      </c>
      <c r="F63" t="s">
        <v>23</v>
      </c>
      <c r="G63">
        <v>4</v>
      </c>
      <c r="H63" t="str">
        <f t="shared" si="0"/>
        <v>NI_4</v>
      </c>
      <c r="I63">
        <v>3</v>
      </c>
      <c r="J63" s="1">
        <v>5.0499999999999903E-3</v>
      </c>
      <c r="K63">
        <v>5.05</v>
      </c>
      <c r="L63">
        <v>1.5E-3</v>
      </c>
      <c r="M63">
        <v>1.5</v>
      </c>
      <c r="N63">
        <v>1076.38888336994</v>
      </c>
      <c r="O63" s="2">
        <v>0.31971947030790299</v>
      </c>
      <c r="P63">
        <v>1.61458332505491</v>
      </c>
      <c r="Q63">
        <v>1.07638888336994</v>
      </c>
    </row>
    <row r="64" spans="1:17" x14ac:dyDescent="0.25">
      <c r="A64">
        <v>2</v>
      </c>
      <c r="B64" t="s">
        <v>71</v>
      </c>
      <c r="C64">
        <v>0.76037040904716202</v>
      </c>
      <c r="D64">
        <v>0.37843333681424501</v>
      </c>
      <c r="E64" t="s">
        <v>5</v>
      </c>
      <c r="F64" t="s">
        <v>23</v>
      </c>
      <c r="G64">
        <v>4</v>
      </c>
      <c r="H64" t="str">
        <f t="shared" si="0"/>
        <v>NI_4</v>
      </c>
      <c r="I64">
        <v>4</v>
      </c>
      <c r="J64" s="1">
        <v>5.2700000000000004E-3</v>
      </c>
      <c r="K64">
        <v>5.27</v>
      </c>
      <c r="L64">
        <v>1.42E-3</v>
      </c>
      <c r="M64">
        <v>1.42</v>
      </c>
      <c r="N64">
        <v>1673.3503720228</v>
      </c>
      <c r="O64" s="2">
        <v>0.45088378145586</v>
      </c>
      <c r="P64">
        <v>2.3761575282723801</v>
      </c>
      <c r="Q64">
        <v>1.6733503720228</v>
      </c>
    </row>
    <row r="65" spans="1:17" x14ac:dyDescent="0.25">
      <c r="A65">
        <v>2</v>
      </c>
      <c r="B65" t="s">
        <v>72</v>
      </c>
      <c r="C65">
        <v>0.409259204511289</v>
      </c>
      <c r="D65">
        <v>0.34683332840601599</v>
      </c>
      <c r="E65" t="s">
        <v>5</v>
      </c>
      <c r="F65" t="s">
        <v>23</v>
      </c>
      <c r="G65">
        <v>4</v>
      </c>
      <c r="H65" t="str">
        <f t="shared" si="0"/>
        <v>NI_4</v>
      </c>
      <c r="I65">
        <v>5</v>
      </c>
      <c r="J65" s="1">
        <v>4.0699999999999903E-3</v>
      </c>
      <c r="K65">
        <v>4.07</v>
      </c>
      <c r="L65">
        <v>1.3699999999999999E-3</v>
      </c>
      <c r="M65">
        <v>1.37</v>
      </c>
      <c r="N65">
        <v>933.52920737064198</v>
      </c>
      <c r="O65" s="2">
        <v>0.31423464719847199</v>
      </c>
      <c r="P65">
        <v>1.27893501409778</v>
      </c>
      <c r="Q65">
        <v>0.93352920737064204</v>
      </c>
    </row>
    <row r="66" spans="1:17" x14ac:dyDescent="0.25">
      <c r="A66">
        <v>2</v>
      </c>
      <c r="B66" t="s">
        <v>73</v>
      </c>
      <c r="C66">
        <v>0.41740738021002899</v>
      </c>
      <c r="D66">
        <v>0.34756666421890298</v>
      </c>
      <c r="E66" t="s">
        <v>5</v>
      </c>
      <c r="F66" t="s">
        <v>23</v>
      </c>
      <c r="G66">
        <v>5</v>
      </c>
      <c r="H66" t="str">
        <f t="shared" ref="H66:H129" si="1">CONCATENATE(F66,"_",G66)</f>
        <v>NI_5</v>
      </c>
      <c r="I66">
        <v>1</v>
      </c>
      <c r="J66" s="1">
        <v>4.2399999999999903E-3</v>
      </c>
      <c r="K66">
        <v>4.24</v>
      </c>
      <c r="L66">
        <v>1.39E-3</v>
      </c>
      <c r="M66">
        <v>1.39</v>
      </c>
      <c r="N66">
        <v>938.41587277434496</v>
      </c>
      <c r="O66" s="2">
        <v>0.307641052631212</v>
      </c>
      <c r="P66">
        <v>1.3043980631563401</v>
      </c>
      <c r="Q66">
        <v>0.93841587277434502</v>
      </c>
    </row>
    <row r="67" spans="1:17" x14ac:dyDescent="0.25">
      <c r="A67">
        <v>2</v>
      </c>
      <c r="B67" t="s">
        <v>74</v>
      </c>
      <c r="C67">
        <v>1.27814812130398</v>
      </c>
      <c r="D67">
        <v>0.42503333091735801</v>
      </c>
      <c r="E67" t="s">
        <v>5</v>
      </c>
      <c r="F67" t="s">
        <v>23</v>
      </c>
      <c r="G67">
        <v>5</v>
      </c>
      <c r="H67" t="str">
        <f t="shared" si="1"/>
        <v>NI_5</v>
      </c>
      <c r="I67">
        <v>2</v>
      </c>
      <c r="J67" s="1">
        <v>1.5720000000000001E-2</v>
      </c>
      <c r="K67">
        <v>15.72</v>
      </c>
      <c r="L67">
        <v>2.5100000000000001E-3</v>
      </c>
      <c r="M67">
        <v>2.5099999999999998</v>
      </c>
      <c r="N67">
        <v>1591.3198721414101</v>
      </c>
      <c r="O67" s="2">
        <v>0.254084788745225</v>
      </c>
      <c r="P67">
        <v>3.99421287907494</v>
      </c>
      <c r="Q67">
        <v>1.5913198721414099</v>
      </c>
    </row>
    <row r="68" spans="1:17" x14ac:dyDescent="0.25">
      <c r="A68">
        <v>2</v>
      </c>
      <c r="B68" t="s">
        <v>75</v>
      </c>
      <c r="C68">
        <v>2.0788889416941898</v>
      </c>
      <c r="D68">
        <v>0.47710000475247699</v>
      </c>
      <c r="E68" t="s">
        <v>5</v>
      </c>
      <c r="F68" t="s">
        <v>6</v>
      </c>
      <c r="G68">
        <v>5</v>
      </c>
      <c r="H68" t="str">
        <f t="shared" si="1"/>
        <v>Isolate_1-39_5</v>
      </c>
      <c r="I68">
        <v>3</v>
      </c>
      <c r="J68" s="1">
        <v>1.06E-2</v>
      </c>
      <c r="K68">
        <v>10.6</v>
      </c>
      <c r="L68">
        <v>1.2600000000000001E-3</v>
      </c>
      <c r="M68">
        <v>1.26</v>
      </c>
      <c r="N68">
        <v>5155.9745577732901</v>
      </c>
      <c r="O68" s="2">
        <v>0.61287999460324005</v>
      </c>
      <c r="P68">
        <v>6.4965279427943399</v>
      </c>
      <c r="Q68">
        <v>5.1559745577732903</v>
      </c>
    </row>
    <row r="69" spans="1:17" x14ac:dyDescent="0.25">
      <c r="A69">
        <v>2</v>
      </c>
      <c r="B69" t="s">
        <v>76</v>
      </c>
      <c r="C69">
        <v>2.5222222186901</v>
      </c>
      <c r="D69">
        <v>0.51699999968210897</v>
      </c>
      <c r="E69" t="s">
        <v>5</v>
      </c>
      <c r="F69" t="s">
        <v>6</v>
      </c>
      <c r="G69">
        <v>5</v>
      </c>
      <c r="H69" t="str">
        <f t="shared" si="1"/>
        <v>Isolate_1-39_5</v>
      </c>
      <c r="I69">
        <v>4</v>
      </c>
      <c r="J69" s="1">
        <v>8.9700000000000005E-3</v>
      </c>
      <c r="K69">
        <v>8.9700000000000006</v>
      </c>
      <c r="L69">
        <v>1.7899999999999999E-3</v>
      </c>
      <c r="M69">
        <v>1.79</v>
      </c>
      <c r="N69">
        <v>4403.3209125176299</v>
      </c>
      <c r="O69" s="2">
        <v>0.878700605730942</v>
      </c>
      <c r="P69">
        <v>7.8819444334065496</v>
      </c>
      <c r="Q69">
        <v>4.4033209125176302</v>
      </c>
    </row>
    <row r="70" spans="1:17" x14ac:dyDescent="0.25">
      <c r="A70">
        <v>2</v>
      </c>
      <c r="B70" t="s">
        <v>77</v>
      </c>
      <c r="C70">
        <v>3.1051852261578601</v>
      </c>
      <c r="D70">
        <v>0.56946667035420695</v>
      </c>
      <c r="E70" t="s">
        <v>5</v>
      </c>
      <c r="F70" t="s">
        <v>6</v>
      </c>
      <c r="G70">
        <v>5</v>
      </c>
      <c r="H70" t="str">
        <f t="shared" si="1"/>
        <v>Isolate_1-39_5</v>
      </c>
      <c r="I70">
        <v>5</v>
      </c>
      <c r="J70" s="1">
        <v>9.1000000000000004E-3</v>
      </c>
      <c r="K70">
        <v>9.1</v>
      </c>
      <c r="L70">
        <v>1.9300000000000001E-3</v>
      </c>
      <c r="M70">
        <v>1.93</v>
      </c>
      <c r="N70">
        <v>5027.8258195561202</v>
      </c>
      <c r="O70" s="2">
        <v>1.06634108041135</v>
      </c>
      <c r="P70">
        <v>9.7037038317433097</v>
      </c>
      <c r="Q70">
        <v>5.0278258195561198</v>
      </c>
    </row>
    <row r="71" spans="1:17" x14ac:dyDescent="0.25">
      <c r="A71">
        <v>2</v>
      </c>
      <c r="B71" t="s">
        <v>78</v>
      </c>
      <c r="C71">
        <v>1.88518510482929</v>
      </c>
      <c r="D71">
        <v>0.45966665943463603</v>
      </c>
      <c r="E71" t="s">
        <v>5</v>
      </c>
      <c r="F71" t="s">
        <v>6</v>
      </c>
      <c r="G71">
        <v>6</v>
      </c>
      <c r="H71" t="str">
        <f t="shared" si="1"/>
        <v>Isolate_1-39_6</v>
      </c>
      <c r="I71">
        <v>1</v>
      </c>
      <c r="J71" s="1">
        <v>7.0800000000000004E-3</v>
      </c>
      <c r="K71">
        <v>7.08</v>
      </c>
      <c r="L71">
        <v>1.24E-3</v>
      </c>
      <c r="M71">
        <v>1.24</v>
      </c>
      <c r="N71">
        <v>4750.9705262834996</v>
      </c>
      <c r="O71" s="2">
        <v>0.83209088313439905</v>
      </c>
      <c r="P71">
        <v>5.8912034525915402</v>
      </c>
      <c r="Q71">
        <v>4.7509705262835</v>
      </c>
    </row>
    <row r="72" spans="1:17" x14ac:dyDescent="0.25">
      <c r="A72">
        <v>2</v>
      </c>
      <c r="B72" t="s">
        <v>79</v>
      </c>
      <c r="C72">
        <v>5.6483334037992696</v>
      </c>
      <c r="D72">
        <v>0.79835000634193398</v>
      </c>
      <c r="E72" t="s">
        <v>5</v>
      </c>
      <c r="F72" t="s">
        <v>6</v>
      </c>
      <c r="G72">
        <v>6</v>
      </c>
      <c r="H72" t="str">
        <f t="shared" si="1"/>
        <v>Isolate_1-39_6</v>
      </c>
      <c r="I72">
        <v>2</v>
      </c>
      <c r="J72" s="1">
        <v>2.1409999999999901E-2</v>
      </c>
      <c r="K72">
        <v>21.41</v>
      </c>
      <c r="L72">
        <v>2.0300000000000001E-3</v>
      </c>
      <c r="M72">
        <v>2.0299999999999998</v>
      </c>
      <c r="N72">
        <v>8695.0945255530605</v>
      </c>
      <c r="O72" s="2">
        <v>0.82442979387541904</v>
      </c>
      <c r="P72">
        <v>17.651041886872701</v>
      </c>
      <c r="Q72">
        <v>8.6950945255530598</v>
      </c>
    </row>
    <row r="73" spans="1:17" x14ac:dyDescent="0.25">
      <c r="A73">
        <v>2</v>
      </c>
      <c r="B73" t="s">
        <v>80</v>
      </c>
      <c r="C73">
        <v>2.60518526147913</v>
      </c>
      <c r="D73">
        <v>0.52446667353312204</v>
      </c>
      <c r="E73" t="s">
        <v>5</v>
      </c>
      <c r="F73" t="s">
        <v>6</v>
      </c>
      <c r="G73">
        <v>6</v>
      </c>
      <c r="H73" t="str">
        <f t="shared" si="1"/>
        <v>Isolate_1-39_6</v>
      </c>
      <c r="I73">
        <v>3</v>
      </c>
      <c r="J73" s="1">
        <v>8.3999999999999908E-3</v>
      </c>
      <c r="K73">
        <v>8.4</v>
      </c>
      <c r="L73">
        <v>1.56E-3</v>
      </c>
      <c r="M73">
        <v>1.56</v>
      </c>
      <c r="N73">
        <v>5218.7204757194104</v>
      </c>
      <c r="O73" s="2">
        <v>0.96919094549074802</v>
      </c>
      <c r="P73">
        <v>8.1412039421222797</v>
      </c>
      <c r="Q73">
        <v>5.2187204757194099</v>
      </c>
    </row>
    <row r="74" spans="1:17" x14ac:dyDescent="0.25">
      <c r="A74">
        <v>2</v>
      </c>
      <c r="B74" t="s">
        <v>81</v>
      </c>
      <c r="C74">
        <v>2.3600000098899598</v>
      </c>
      <c r="D74">
        <v>0.50240000089009595</v>
      </c>
      <c r="E74" t="s">
        <v>5</v>
      </c>
      <c r="F74" t="s">
        <v>6</v>
      </c>
      <c r="G74">
        <v>6</v>
      </c>
      <c r="H74" t="str">
        <f t="shared" si="1"/>
        <v>Isolate_1-39_6</v>
      </c>
      <c r="I74">
        <v>4</v>
      </c>
      <c r="J74" s="1">
        <v>9.7800000000000005E-3</v>
      </c>
      <c r="K74">
        <v>9.7799999999999994</v>
      </c>
      <c r="L74">
        <v>1.6199999999999999E-3</v>
      </c>
      <c r="M74">
        <v>1.62</v>
      </c>
      <c r="N74">
        <v>4552.4691548803203</v>
      </c>
      <c r="O74" s="2">
        <v>0.75408998271023597</v>
      </c>
      <c r="P74">
        <v>7.3750000309061097</v>
      </c>
      <c r="Q74">
        <v>4.5524691548803196</v>
      </c>
    </row>
    <row r="75" spans="1:17" x14ac:dyDescent="0.25">
      <c r="A75">
        <v>2</v>
      </c>
      <c r="B75" t="s">
        <v>82</v>
      </c>
      <c r="C75">
        <v>3.5522222695527299</v>
      </c>
      <c r="D75">
        <v>0.60970000425974502</v>
      </c>
      <c r="E75" t="s">
        <v>5</v>
      </c>
      <c r="F75" t="s">
        <v>6</v>
      </c>
      <c r="G75">
        <v>6</v>
      </c>
      <c r="H75" t="str">
        <f t="shared" si="1"/>
        <v>Isolate_1-39_6</v>
      </c>
      <c r="I75">
        <v>5</v>
      </c>
      <c r="J75" s="1">
        <v>1.5959999999999901E-2</v>
      </c>
      <c r="K75">
        <v>15.96</v>
      </c>
      <c r="L75">
        <v>1.6800000000000001E-3</v>
      </c>
      <c r="M75">
        <v>1.68</v>
      </c>
      <c r="N75">
        <v>6607.5563049715902</v>
      </c>
      <c r="O75" s="2">
        <v>0.69553224262858804</v>
      </c>
      <c r="P75">
        <v>11.100694592352299</v>
      </c>
      <c r="Q75">
        <v>6.60755630497159</v>
      </c>
    </row>
    <row r="76" spans="1:17" x14ac:dyDescent="0.25">
      <c r="A76">
        <v>2</v>
      </c>
      <c r="B76" t="s">
        <v>83</v>
      </c>
      <c r="C76">
        <v>2.5411109306194199</v>
      </c>
      <c r="D76">
        <v>0.518699983755747</v>
      </c>
      <c r="E76" t="s">
        <v>5</v>
      </c>
      <c r="F76" t="s">
        <v>14</v>
      </c>
      <c r="G76">
        <v>5</v>
      </c>
      <c r="H76" t="str">
        <f t="shared" si="1"/>
        <v>Isolate_1-40_5</v>
      </c>
      <c r="I76">
        <v>3</v>
      </c>
      <c r="J76" s="1">
        <v>1.155E-2</v>
      </c>
      <c r="K76">
        <v>11.55</v>
      </c>
      <c r="L76">
        <v>1.82E-3</v>
      </c>
      <c r="M76">
        <v>1.82</v>
      </c>
      <c r="N76">
        <v>4363.1712407613604</v>
      </c>
      <c r="O76" s="2">
        <v>0.68753001369572997</v>
      </c>
      <c r="P76">
        <v>7.9409716581856804</v>
      </c>
      <c r="Q76">
        <v>4.3631712407613596</v>
      </c>
    </row>
    <row r="77" spans="1:17" x14ac:dyDescent="0.25">
      <c r="A77">
        <v>2</v>
      </c>
      <c r="B77" t="s">
        <v>84</v>
      </c>
      <c r="C77">
        <v>2.22666662710684</v>
      </c>
      <c r="D77">
        <v>0.49039999643961601</v>
      </c>
      <c r="E77" t="s">
        <v>5</v>
      </c>
      <c r="F77" t="s">
        <v>14</v>
      </c>
      <c r="G77">
        <v>5</v>
      </c>
      <c r="H77" t="str">
        <f t="shared" si="1"/>
        <v>Isolate_1-40_5</v>
      </c>
      <c r="I77">
        <v>4</v>
      </c>
      <c r="J77" s="1">
        <v>5.5599999999999903E-3</v>
      </c>
      <c r="K77">
        <v>5.56</v>
      </c>
      <c r="L77">
        <v>1.41E-3</v>
      </c>
      <c r="M77">
        <v>1.41</v>
      </c>
      <c r="N77">
        <v>4934.9880919921197</v>
      </c>
      <c r="O77" s="2">
        <v>1.2514987787246199</v>
      </c>
      <c r="P77">
        <v>6.9583332097088899</v>
      </c>
      <c r="Q77">
        <v>4.9349880919921203</v>
      </c>
    </row>
    <row r="78" spans="1:17" x14ac:dyDescent="0.25">
      <c r="A78">
        <v>2</v>
      </c>
      <c r="B78" t="s">
        <v>85</v>
      </c>
      <c r="C78">
        <v>1.5555555246494399</v>
      </c>
      <c r="D78">
        <v>0.42999999721845</v>
      </c>
      <c r="E78" t="s">
        <v>5</v>
      </c>
      <c r="F78" t="s">
        <v>14</v>
      </c>
      <c r="G78">
        <v>5</v>
      </c>
      <c r="H78" t="str">
        <f t="shared" si="1"/>
        <v>Isolate_1-40_5</v>
      </c>
      <c r="I78">
        <v>5</v>
      </c>
      <c r="J78" s="1">
        <v>3.8E-3</v>
      </c>
      <c r="K78">
        <v>3.8</v>
      </c>
      <c r="L78">
        <v>1.33E-3</v>
      </c>
      <c r="M78">
        <v>1.33</v>
      </c>
      <c r="N78">
        <v>3654.9706876161699</v>
      </c>
      <c r="O78" s="2">
        <v>1.2792397406656599</v>
      </c>
      <c r="P78">
        <v>4.8611110145295102</v>
      </c>
      <c r="Q78">
        <v>3.6549706876161698</v>
      </c>
    </row>
    <row r="79" spans="1:17" x14ac:dyDescent="0.25">
      <c r="A79">
        <v>2</v>
      </c>
      <c r="B79" t="s">
        <v>86</v>
      </c>
      <c r="C79">
        <v>2.4833332785853601</v>
      </c>
      <c r="D79">
        <v>0.51349999507268296</v>
      </c>
      <c r="E79" t="s">
        <v>5</v>
      </c>
      <c r="F79" t="s">
        <v>14</v>
      </c>
      <c r="G79">
        <v>6</v>
      </c>
      <c r="H79" t="str">
        <f t="shared" si="1"/>
        <v>Isolate_1-40_6</v>
      </c>
      <c r="I79">
        <v>1</v>
      </c>
      <c r="J79" s="1">
        <v>9.1900000000000003E-3</v>
      </c>
      <c r="K79">
        <v>9.19</v>
      </c>
      <c r="L79">
        <v>2.1199999999999999E-3</v>
      </c>
      <c r="M79">
        <v>2.12</v>
      </c>
      <c r="N79">
        <v>3660.5738186694598</v>
      </c>
      <c r="O79" s="2">
        <v>0.84444140321863603</v>
      </c>
      <c r="P79">
        <v>7.7604164955792596</v>
      </c>
      <c r="Q79">
        <v>3.6605738186694601</v>
      </c>
    </row>
    <row r="80" spans="1:17" x14ac:dyDescent="0.25">
      <c r="A80">
        <v>2</v>
      </c>
      <c r="B80" t="s">
        <v>87</v>
      </c>
      <c r="C80">
        <v>3.9100000328487798</v>
      </c>
      <c r="D80">
        <v>0.64190000295639005</v>
      </c>
      <c r="E80" t="s">
        <v>5</v>
      </c>
      <c r="F80" t="s">
        <v>14</v>
      </c>
      <c r="G80">
        <v>6</v>
      </c>
      <c r="H80" t="str">
        <f t="shared" si="1"/>
        <v>Isolate_1-40_6</v>
      </c>
      <c r="I80">
        <v>2</v>
      </c>
      <c r="J80" s="1">
        <v>1.06E-2</v>
      </c>
      <c r="K80">
        <v>10.6</v>
      </c>
      <c r="L80">
        <v>2.65E-3</v>
      </c>
      <c r="M80">
        <v>2.65</v>
      </c>
      <c r="N80">
        <v>4610.8490953405499</v>
      </c>
      <c r="O80" s="2">
        <v>1.1527122738351401</v>
      </c>
      <c r="P80">
        <v>12.2187501026524</v>
      </c>
      <c r="Q80">
        <v>4.6108490953405497</v>
      </c>
    </row>
    <row r="81" spans="1:17" x14ac:dyDescent="0.25">
      <c r="A81">
        <v>2</v>
      </c>
      <c r="B81" t="s">
        <v>88</v>
      </c>
      <c r="C81">
        <v>2.0151851530428302</v>
      </c>
      <c r="D81">
        <v>0.471366663773855</v>
      </c>
      <c r="E81" t="s">
        <v>5</v>
      </c>
      <c r="F81" t="s">
        <v>14</v>
      </c>
      <c r="G81">
        <v>6</v>
      </c>
      <c r="H81" t="str">
        <f t="shared" si="1"/>
        <v>Isolate_1-40_6</v>
      </c>
      <c r="I81">
        <v>3</v>
      </c>
      <c r="J81" s="1">
        <v>6.4900000000000001E-3</v>
      </c>
      <c r="K81">
        <v>6.49</v>
      </c>
      <c r="L81">
        <v>1.2199999999999999E-3</v>
      </c>
      <c r="M81">
        <v>1.22</v>
      </c>
      <c r="N81">
        <v>5161.8472157859396</v>
      </c>
      <c r="O81" s="2">
        <v>0.97033183409227097</v>
      </c>
      <c r="P81">
        <v>6.2974536032588402</v>
      </c>
      <c r="Q81">
        <v>5.1618472157859303</v>
      </c>
    </row>
    <row r="82" spans="1:17" x14ac:dyDescent="0.25">
      <c r="A82">
        <v>2</v>
      </c>
      <c r="B82" t="s">
        <v>89</v>
      </c>
      <c r="C82">
        <v>1.85333337607207</v>
      </c>
      <c r="D82">
        <v>0.456800003846486</v>
      </c>
      <c r="E82" t="s">
        <v>5</v>
      </c>
      <c r="F82" t="s">
        <v>14</v>
      </c>
      <c r="G82">
        <v>6</v>
      </c>
      <c r="H82" t="str">
        <f t="shared" si="1"/>
        <v>Isolate_1-40_6</v>
      </c>
      <c r="I82">
        <v>4</v>
      </c>
      <c r="J82" s="1">
        <v>4.9899999999999901E-3</v>
      </c>
      <c r="K82">
        <v>4.99</v>
      </c>
      <c r="L82">
        <v>1.4300000000000001E-3</v>
      </c>
      <c r="M82">
        <v>1.43</v>
      </c>
      <c r="N82">
        <v>4050.1166435141399</v>
      </c>
      <c r="O82" s="2">
        <v>1.16065466938381</v>
      </c>
      <c r="P82">
        <v>5.7916668002252196</v>
      </c>
      <c r="Q82">
        <v>4.0501166435141398</v>
      </c>
    </row>
    <row r="83" spans="1:17" x14ac:dyDescent="0.25">
      <c r="A83">
        <v>2</v>
      </c>
      <c r="B83" t="s">
        <v>90</v>
      </c>
      <c r="C83">
        <v>0.84370376445629003</v>
      </c>
      <c r="D83">
        <v>0.36593333880106599</v>
      </c>
      <c r="E83" t="s">
        <v>5</v>
      </c>
      <c r="F83" t="s">
        <v>23</v>
      </c>
      <c r="G83">
        <v>5</v>
      </c>
      <c r="H83" t="str">
        <f t="shared" si="1"/>
        <v>NI_5</v>
      </c>
      <c r="I83">
        <v>3</v>
      </c>
      <c r="J83" s="1">
        <v>5.7869999999999901E-3</v>
      </c>
      <c r="K83">
        <v>5.7869999999999999</v>
      </c>
      <c r="L83">
        <v>1.8500000000000001E-3</v>
      </c>
      <c r="M83">
        <v>1.85</v>
      </c>
      <c r="N83">
        <v>1425.1752777977899</v>
      </c>
      <c r="O83" s="2">
        <v>0.45560294866526801</v>
      </c>
      <c r="P83">
        <v>2.63657426392591</v>
      </c>
      <c r="Q83">
        <v>1.42517527779779</v>
      </c>
    </row>
    <row r="84" spans="1:17" x14ac:dyDescent="0.25">
      <c r="A84">
        <v>2</v>
      </c>
      <c r="B84" t="s">
        <v>91</v>
      </c>
      <c r="C84">
        <v>0.97481477702105501</v>
      </c>
      <c r="D84">
        <v>0.37773332993189501</v>
      </c>
      <c r="E84" t="s">
        <v>5</v>
      </c>
      <c r="F84" t="s">
        <v>23</v>
      </c>
      <c r="G84">
        <v>5</v>
      </c>
      <c r="H84" t="str">
        <f t="shared" si="1"/>
        <v>NI_5</v>
      </c>
      <c r="I84">
        <v>4</v>
      </c>
      <c r="J84" s="1">
        <v>5.6800000000000002E-3</v>
      </c>
      <c r="K84">
        <v>5.68</v>
      </c>
      <c r="L84">
        <v>1.9E-3</v>
      </c>
      <c r="M84">
        <v>1.9</v>
      </c>
      <c r="N84">
        <v>1603.3137779951601</v>
      </c>
      <c r="O84" s="2">
        <v>0.536319749681478</v>
      </c>
      <c r="P84">
        <v>3.0462961781907998</v>
      </c>
      <c r="Q84">
        <v>1.6033137779951601</v>
      </c>
    </row>
    <row r="85" spans="1:17" x14ac:dyDescent="0.25">
      <c r="A85">
        <v>2</v>
      </c>
      <c r="B85" t="s">
        <v>92</v>
      </c>
      <c r="C85">
        <v>0.43407404422759999</v>
      </c>
      <c r="D85">
        <v>0.32906666398048401</v>
      </c>
      <c r="E85" t="s">
        <v>5</v>
      </c>
      <c r="F85" t="s">
        <v>23</v>
      </c>
      <c r="G85">
        <v>5</v>
      </c>
      <c r="H85" t="str">
        <f t="shared" si="1"/>
        <v>NI_5</v>
      </c>
      <c r="I85">
        <v>5</v>
      </c>
      <c r="J85" s="1">
        <v>3.2599999999999899E-3</v>
      </c>
      <c r="K85">
        <v>3.26</v>
      </c>
      <c r="L85">
        <v>9.7999999999999997E-4</v>
      </c>
      <c r="M85">
        <v>0.98</v>
      </c>
      <c r="N85">
        <v>1384.16468184822</v>
      </c>
      <c r="O85" s="2">
        <v>0.41609858534087502</v>
      </c>
      <c r="P85">
        <v>1.3564813882112501</v>
      </c>
      <c r="Q85">
        <v>1.3841646818482201</v>
      </c>
    </row>
    <row r="86" spans="1:17" x14ac:dyDescent="0.25">
      <c r="A86">
        <v>2</v>
      </c>
      <c r="B86" t="s">
        <v>93</v>
      </c>
      <c r="C86">
        <v>1.39111105600993</v>
      </c>
      <c r="D86">
        <v>0.415199995040894</v>
      </c>
      <c r="E86" t="s">
        <v>5</v>
      </c>
      <c r="F86" t="s">
        <v>23</v>
      </c>
      <c r="G86">
        <v>6</v>
      </c>
      <c r="H86" t="str">
        <f t="shared" si="1"/>
        <v>NI_6</v>
      </c>
      <c r="I86">
        <v>1</v>
      </c>
      <c r="J86" s="1">
        <v>4.96E-3</v>
      </c>
      <c r="K86">
        <v>4.96</v>
      </c>
      <c r="L86">
        <v>1.2099999999999999E-3</v>
      </c>
      <c r="M86">
        <v>1.21</v>
      </c>
      <c r="N86">
        <v>3592.74549589341</v>
      </c>
      <c r="O86" s="2">
        <v>0.87645605847399699</v>
      </c>
      <c r="P86">
        <v>4.3472220500310303</v>
      </c>
      <c r="Q86">
        <v>3.5927454958934102</v>
      </c>
    </row>
    <row r="87" spans="1:17" x14ac:dyDescent="0.25">
      <c r="A87">
        <v>2</v>
      </c>
      <c r="B87" t="s">
        <v>94</v>
      </c>
      <c r="C87">
        <v>0.93629626874570504</v>
      </c>
      <c r="D87">
        <v>0.37426666418711302</v>
      </c>
      <c r="E87" t="s">
        <v>5</v>
      </c>
      <c r="F87" t="s">
        <v>23</v>
      </c>
      <c r="G87">
        <v>6</v>
      </c>
      <c r="H87" t="str">
        <f t="shared" si="1"/>
        <v>NI_6</v>
      </c>
      <c r="I87">
        <v>2</v>
      </c>
      <c r="J87" s="1">
        <v>7.4599999999999901E-3</v>
      </c>
      <c r="K87">
        <v>7.46</v>
      </c>
      <c r="L87">
        <v>1.41E-3</v>
      </c>
      <c r="M87">
        <v>1.41</v>
      </c>
      <c r="N87">
        <v>2075.1247090995198</v>
      </c>
      <c r="O87" s="2">
        <v>0.39221526003087498</v>
      </c>
      <c r="P87">
        <v>2.9259258398303301</v>
      </c>
      <c r="Q87">
        <v>2.0751247090995202</v>
      </c>
    </row>
    <row r="88" spans="1:17" x14ac:dyDescent="0.25">
      <c r="A88">
        <v>2</v>
      </c>
      <c r="B88" t="s">
        <v>95</v>
      </c>
      <c r="C88">
        <v>1.60740748158208</v>
      </c>
      <c r="D88">
        <v>0.43466667334238701</v>
      </c>
      <c r="E88" t="s">
        <v>5</v>
      </c>
      <c r="F88" t="s">
        <v>23</v>
      </c>
      <c r="G88">
        <v>6</v>
      </c>
      <c r="H88" t="str">
        <f t="shared" si="1"/>
        <v>NI_6</v>
      </c>
      <c r="I88">
        <v>3</v>
      </c>
      <c r="J88" s="1">
        <v>7.6800000000000002E-3</v>
      </c>
      <c r="K88">
        <v>7.68</v>
      </c>
      <c r="L88">
        <v>1.32E-3</v>
      </c>
      <c r="M88">
        <v>1.32</v>
      </c>
      <c r="N88">
        <v>3805.41543935151</v>
      </c>
      <c r="O88" s="2">
        <v>0.65405577863854003</v>
      </c>
      <c r="P88">
        <v>5.02314837994399</v>
      </c>
      <c r="Q88">
        <v>3.8054154393515098</v>
      </c>
    </row>
    <row r="89" spans="1:17" x14ac:dyDescent="0.25">
      <c r="A89">
        <v>2</v>
      </c>
      <c r="B89" t="s">
        <v>96</v>
      </c>
      <c r="C89">
        <v>2.3225925763448099</v>
      </c>
      <c r="D89">
        <v>0.49903333187103299</v>
      </c>
      <c r="E89" t="s">
        <v>5</v>
      </c>
      <c r="F89" t="s">
        <v>23</v>
      </c>
      <c r="G89">
        <v>6</v>
      </c>
      <c r="H89" t="str">
        <f t="shared" si="1"/>
        <v>NI_6</v>
      </c>
      <c r="I89">
        <v>4</v>
      </c>
      <c r="J89" s="1">
        <v>1.1820000000000001E-2</v>
      </c>
      <c r="K89">
        <v>11.82</v>
      </c>
      <c r="L89">
        <v>2.0500000000000002E-3</v>
      </c>
      <c r="M89">
        <v>2.0499999999999998</v>
      </c>
      <c r="N89">
        <v>3540.5374639402598</v>
      </c>
      <c r="O89" s="2">
        <v>0.61405260584412202</v>
      </c>
      <c r="P89">
        <v>7.2581018010775296</v>
      </c>
      <c r="Q89">
        <v>3.54053746394026</v>
      </c>
    </row>
    <row r="90" spans="1:17" x14ac:dyDescent="0.25">
      <c r="A90">
        <v>2</v>
      </c>
      <c r="B90" t="s">
        <v>97</v>
      </c>
      <c r="C90">
        <v>3.6336841415940699</v>
      </c>
      <c r="D90">
        <v>0.62519999345143595</v>
      </c>
      <c r="E90" t="s">
        <v>98</v>
      </c>
      <c r="F90" t="s">
        <v>6</v>
      </c>
      <c r="G90">
        <v>1</v>
      </c>
      <c r="H90" t="str">
        <f t="shared" si="1"/>
        <v>Isolate_1-39_1</v>
      </c>
      <c r="I90">
        <v>1</v>
      </c>
      <c r="J90" s="1">
        <v>2.094E-2</v>
      </c>
      <c r="K90">
        <v>20.94</v>
      </c>
      <c r="L90">
        <v>3.5200000000000001E-3</v>
      </c>
      <c r="M90">
        <v>3.52</v>
      </c>
      <c r="N90">
        <v>3225.9269722958702</v>
      </c>
      <c r="O90" s="2">
        <v>0.54227616726272498</v>
      </c>
      <c r="P90">
        <v>11.355262942481501</v>
      </c>
      <c r="Q90">
        <v>3.2259269722958699</v>
      </c>
    </row>
    <row r="91" spans="1:17" x14ac:dyDescent="0.25">
      <c r="A91">
        <v>2</v>
      </c>
      <c r="B91" t="s">
        <v>99</v>
      </c>
      <c r="C91">
        <v>2.3017542529524402</v>
      </c>
      <c r="D91">
        <v>0.49866665403048199</v>
      </c>
      <c r="E91" t="s">
        <v>98</v>
      </c>
      <c r="F91" t="s">
        <v>14</v>
      </c>
      <c r="G91">
        <v>1</v>
      </c>
      <c r="H91" t="str">
        <f t="shared" si="1"/>
        <v>Isolate_1-40_1</v>
      </c>
      <c r="I91">
        <v>1</v>
      </c>
      <c r="J91" s="1">
        <v>4.2369999999999901E-2</v>
      </c>
      <c r="K91">
        <v>42.37</v>
      </c>
      <c r="L91">
        <v>2.4599999999999999E-3</v>
      </c>
      <c r="M91">
        <v>2.46</v>
      </c>
      <c r="N91">
        <v>2923.97643921804</v>
      </c>
      <c r="O91" s="2">
        <v>0.169765920237819</v>
      </c>
      <c r="P91">
        <v>7.1929820404763802</v>
      </c>
      <c r="Q91">
        <v>2.9239764392180398</v>
      </c>
    </row>
    <row r="92" spans="1:17" x14ac:dyDescent="0.25">
      <c r="A92">
        <v>2</v>
      </c>
      <c r="B92" t="s">
        <v>100</v>
      </c>
      <c r="C92">
        <v>2.5680702109085898</v>
      </c>
      <c r="D92">
        <v>0.52396667003631603</v>
      </c>
      <c r="E92" t="s">
        <v>98</v>
      </c>
      <c r="F92" t="s">
        <v>23</v>
      </c>
      <c r="G92">
        <v>1</v>
      </c>
      <c r="H92" t="str">
        <f t="shared" si="1"/>
        <v>NI_1</v>
      </c>
      <c r="I92">
        <v>1</v>
      </c>
      <c r="J92" s="1">
        <v>2.647E-2</v>
      </c>
      <c r="K92">
        <v>26.47</v>
      </c>
      <c r="L92">
        <v>6.62E-3</v>
      </c>
      <c r="M92">
        <v>6.62</v>
      </c>
      <c r="N92">
        <v>1212.2687929138001</v>
      </c>
      <c r="O92" s="2">
        <v>0.303181692825438</v>
      </c>
      <c r="P92">
        <v>8.0252194090893401</v>
      </c>
      <c r="Q92">
        <v>1.2122687929138001</v>
      </c>
    </row>
    <row r="93" spans="1:17" x14ac:dyDescent="0.25">
      <c r="A93">
        <v>2</v>
      </c>
      <c r="B93" t="s">
        <v>101</v>
      </c>
      <c r="C93">
        <v>0.94070174401266504</v>
      </c>
      <c r="D93">
        <v>0.36936666568120302</v>
      </c>
      <c r="E93" t="s">
        <v>98</v>
      </c>
      <c r="F93" t="s">
        <v>23</v>
      </c>
      <c r="G93">
        <v>1</v>
      </c>
      <c r="H93" t="str">
        <f t="shared" si="1"/>
        <v>NI_1</v>
      </c>
      <c r="I93">
        <v>2</v>
      </c>
      <c r="J93" s="1">
        <v>7.6800000000000002E-3</v>
      </c>
      <c r="K93">
        <v>7.68</v>
      </c>
      <c r="L93">
        <v>2.32E-3</v>
      </c>
      <c r="M93">
        <v>2.3199999999999998</v>
      </c>
      <c r="N93">
        <v>1267.1090301894701</v>
      </c>
      <c r="O93" s="2">
        <v>0.38277251953640301</v>
      </c>
      <c r="P93">
        <v>2.9396929500395799</v>
      </c>
      <c r="Q93">
        <v>1.2671090301894701</v>
      </c>
    </row>
    <row r="94" spans="1:17" x14ac:dyDescent="0.25">
      <c r="A94">
        <v>2</v>
      </c>
      <c r="B94" t="s">
        <v>102</v>
      </c>
      <c r="C94">
        <v>3.5508771862900002</v>
      </c>
      <c r="D94">
        <v>0.61733333269754997</v>
      </c>
      <c r="E94" t="s">
        <v>5</v>
      </c>
      <c r="F94" t="s">
        <v>6</v>
      </c>
      <c r="G94">
        <v>7</v>
      </c>
      <c r="H94" t="str">
        <f t="shared" si="1"/>
        <v>Isolate_1-39_7</v>
      </c>
      <c r="I94">
        <v>1</v>
      </c>
      <c r="J94" s="1">
        <v>1.308E-2</v>
      </c>
      <c r="K94">
        <v>13.08</v>
      </c>
      <c r="L94">
        <v>1.65E-3</v>
      </c>
      <c r="M94">
        <v>1.65</v>
      </c>
      <c r="N94">
        <v>6725.1461861553098</v>
      </c>
      <c r="O94" s="2">
        <v>0.84835559687739004</v>
      </c>
      <c r="P94">
        <v>11.0964912071563</v>
      </c>
      <c r="Q94">
        <v>6.7251461861553103</v>
      </c>
    </row>
    <row r="95" spans="1:17" x14ac:dyDescent="0.25">
      <c r="A95">
        <v>2</v>
      </c>
      <c r="B95" t="s">
        <v>103</v>
      </c>
      <c r="C95">
        <v>2.1722808344322302</v>
      </c>
      <c r="D95">
        <v>0.48636667927106197</v>
      </c>
      <c r="E95" t="s">
        <v>5</v>
      </c>
      <c r="F95" t="s">
        <v>6</v>
      </c>
      <c r="G95">
        <v>7</v>
      </c>
      <c r="H95" t="str">
        <f t="shared" si="1"/>
        <v>Isolate_1-39_7</v>
      </c>
      <c r="I95">
        <v>2</v>
      </c>
      <c r="J95" s="1">
        <v>8.0000000000000002E-3</v>
      </c>
      <c r="K95">
        <v>8</v>
      </c>
      <c r="L95">
        <v>1.3500000000000001E-3</v>
      </c>
      <c r="M95">
        <v>1.35</v>
      </c>
      <c r="N95">
        <v>5028.42785748202</v>
      </c>
      <c r="O95" s="2">
        <v>0.84854720095009095</v>
      </c>
      <c r="P95">
        <v>6.7883776076007303</v>
      </c>
      <c r="Q95">
        <v>5.0284278574820203</v>
      </c>
    </row>
    <row r="96" spans="1:17" x14ac:dyDescent="0.25">
      <c r="A96">
        <v>2</v>
      </c>
      <c r="B96" t="s">
        <v>104</v>
      </c>
      <c r="C96">
        <v>3.6484209194517998</v>
      </c>
      <c r="D96">
        <v>0.62659998734792099</v>
      </c>
      <c r="E96" t="s">
        <v>5</v>
      </c>
      <c r="F96" t="s">
        <v>6</v>
      </c>
      <c r="G96">
        <v>7</v>
      </c>
      <c r="H96" t="str">
        <f t="shared" si="1"/>
        <v>Isolate_1-39_7</v>
      </c>
      <c r="I96">
        <v>3</v>
      </c>
      <c r="J96" s="1">
        <v>1.7010000000000001E-2</v>
      </c>
      <c r="K96">
        <v>17.010000000000002</v>
      </c>
      <c r="L96">
        <v>1.75E-3</v>
      </c>
      <c r="M96">
        <v>1.75</v>
      </c>
      <c r="N96">
        <v>6515.0373561639199</v>
      </c>
      <c r="O96" s="2">
        <v>0.67027133293867502</v>
      </c>
      <c r="P96">
        <v>11.4013153732869</v>
      </c>
      <c r="Q96">
        <v>6.5150373561639201</v>
      </c>
    </row>
    <row r="97" spans="1:17" x14ac:dyDescent="0.25">
      <c r="A97">
        <v>2</v>
      </c>
      <c r="B97" t="s">
        <v>105</v>
      </c>
      <c r="C97">
        <v>4.5466664715817098</v>
      </c>
      <c r="D97">
        <v>0.71193331480026201</v>
      </c>
      <c r="E97" t="s">
        <v>5</v>
      </c>
      <c r="F97" t="s">
        <v>6</v>
      </c>
      <c r="G97">
        <v>7</v>
      </c>
      <c r="H97" t="str">
        <f t="shared" si="1"/>
        <v>Isolate_1-39_7</v>
      </c>
      <c r="I97">
        <v>4</v>
      </c>
      <c r="J97" s="1">
        <v>1.388E-2</v>
      </c>
      <c r="K97">
        <v>13.88</v>
      </c>
      <c r="L97">
        <v>2.6099999999999999E-3</v>
      </c>
      <c r="M97">
        <v>2.61</v>
      </c>
      <c r="N97">
        <v>5443.8056412616297</v>
      </c>
      <c r="O97" s="2">
        <v>1.0236550953669199</v>
      </c>
      <c r="P97">
        <v>14.2083327236928</v>
      </c>
      <c r="Q97">
        <v>5.4438056412616298</v>
      </c>
    </row>
    <row r="98" spans="1:17" x14ac:dyDescent="0.25">
      <c r="A98">
        <v>2</v>
      </c>
      <c r="B98" t="s">
        <v>106</v>
      </c>
      <c r="C98">
        <v>1.88807020271034</v>
      </c>
      <c r="D98">
        <v>0.45936666925748199</v>
      </c>
      <c r="E98" t="s">
        <v>5</v>
      </c>
      <c r="F98" t="s">
        <v>6</v>
      </c>
      <c r="G98">
        <v>7</v>
      </c>
      <c r="H98" t="str">
        <f t="shared" si="1"/>
        <v>Isolate_1-39_7</v>
      </c>
      <c r="I98">
        <v>5</v>
      </c>
      <c r="J98" s="1">
        <v>4.9100000000000003E-3</v>
      </c>
      <c r="K98">
        <v>4.91</v>
      </c>
      <c r="L98">
        <v>1.07E-3</v>
      </c>
      <c r="M98">
        <v>1.07</v>
      </c>
      <c r="N98">
        <v>5514.2237228689701</v>
      </c>
      <c r="O98" s="2">
        <v>1.20167400885332</v>
      </c>
      <c r="P98">
        <v>5.9002193834697998</v>
      </c>
      <c r="Q98">
        <v>5.5142237228689703</v>
      </c>
    </row>
    <row r="99" spans="1:17" x14ac:dyDescent="0.25">
      <c r="A99">
        <v>2</v>
      </c>
      <c r="B99" t="s">
        <v>107</v>
      </c>
      <c r="C99">
        <v>0.54982462682222</v>
      </c>
      <c r="D99">
        <v>0.33223333954811102</v>
      </c>
      <c r="E99" t="s">
        <v>5</v>
      </c>
      <c r="F99" t="s">
        <v>14</v>
      </c>
      <c r="G99">
        <v>6</v>
      </c>
      <c r="H99" t="str">
        <f t="shared" si="1"/>
        <v>Isolate_1-40_6</v>
      </c>
      <c r="I99">
        <v>5</v>
      </c>
      <c r="J99" s="1">
        <v>1.0300000000000001E-3</v>
      </c>
      <c r="K99">
        <v>1.03</v>
      </c>
      <c r="L99">
        <v>5.1999999999999995E-4</v>
      </c>
      <c r="M99">
        <v>0.52</v>
      </c>
      <c r="N99">
        <v>3304.2345361912298</v>
      </c>
      <c r="O99" s="2">
        <v>1.6681572415722701</v>
      </c>
      <c r="P99">
        <v>1.7182019588194399</v>
      </c>
      <c r="Q99">
        <v>3.3042345361912302</v>
      </c>
    </row>
    <row r="100" spans="1:17" x14ac:dyDescent="0.25">
      <c r="A100">
        <v>2</v>
      </c>
      <c r="B100" t="s">
        <v>108</v>
      </c>
      <c r="C100">
        <v>2.8435087120323801</v>
      </c>
      <c r="D100">
        <v>0.55013332764307699</v>
      </c>
      <c r="E100" t="s">
        <v>5</v>
      </c>
      <c r="F100" t="s">
        <v>14</v>
      </c>
      <c r="G100">
        <v>7</v>
      </c>
      <c r="H100" t="str">
        <f t="shared" si="1"/>
        <v>Isolate_1-40_7</v>
      </c>
      <c r="I100">
        <v>1</v>
      </c>
      <c r="J100" s="1">
        <v>1.472E-2</v>
      </c>
      <c r="K100">
        <v>14.72</v>
      </c>
      <c r="L100">
        <v>2.5899999999999999E-3</v>
      </c>
      <c r="M100">
        <v>2.59</v>
      </c>
      <c r="N100">
        <v>3430.87441123599</v>
      </c>
      <c r="O100" s="2">
        <v>0.60366608186828796</v>
      </c>
      <c r="P100">
        <v>8.8859647251011999</v>
      </c>
      <c r="Q100">
        <v>3.4308744112359899</v>
      </c>
    </row>
    <row r="101" spans="1:17" x14ac:dyDescent="0.25">
      <c r="A101">
        <v>2</v>
      </c>
      <c r="B101" t="s">
        <v>109</v>
      </c>
      <c r="C101">
        <v>2.0491226848803099</v>
      </c>
      <c r="D101">
        <v>0.47466665506362898</v>
      </c>
      <c r="E101" t="s">
        <v>5</v>
      </c>
      <c r="F101" t="s">
        <v>14</v>
      </c>
      <c r="G101">
        <v>7</v>
      </c>
      <c r="H101" t="str">
        <f t="shared" si="1"/>
        <v>Isolate_1-40_7</v>
      </c>
      <c r="I101">
        <v>2</v>
      </c>
      <c r="J101" s="1">
        <v>7.0299999999999902E-3</v>
      </c>
      <c r="K101">
        <v>7.03</v>
      </c>
      <c r="L101">
        <v>1.3799999999999999E-3</v>
      </c>
      <c r="M101">
        <v>1.38</v>
      </c>
      <c r="N101">
        <v>4640.2234711963501</v>
      </c>
      <c r="O101" s="2">
        <v>0.91088312805845795</v>
      </c>
      <c r="P101">
        <v>6.40350839025096</v>
      </c>
      <c r="Q101">
        <v>4.6402234711963501</v>
      </c>
    </row>
    <row r="102" spans="1:17" x14ac:dyDescent="0.25">
      <c r="A102">
        <v>2</v>
      </c>
      <c r="B102" t="s">
        <v>110</v>
      </c>
      <c r="C102">
        <v>2.2947367994408898</v>
      </c>
      <c r="D102">
        <v>0.49799999594688399</v>
      </c>
      <c r="E102" t="s">
        <v>5</v>
      </c>
      <c r="F102" t="s">
        <v>14</v>
      </c>
      <c r="G102">
        <v>7</v>
      </c>
      <c r="H102" t="str">
        <f t="shared" si="1"/>
        <v>Isolate_1-40_7</v>
      </c>
      <c r="I102">
        <v>3</v>
      </c>
      <c r="J102" s="1">
        <v>6.77999999999999E-3</v>
      </c>
      <c r="K102">
        <v>6.78</v>
      </c>
      <c r="L102">
        <v>1.1800000000000001E-3</v>
      </c>
      <c r="M102">
        <v>1.18</v>
      </c>
      <c r="N102">
        <v>6077.1631341125103</v>
      </c>
      <c r="O102" s="2">
        <v>1.0576773596243001</v>
      </c>
      <c r="P102">
        <v>7.1710524982527701</v>
      </c>
      <c r="Q102">
        <v>6.0771631341125101</v>
      </c>
    </row>
    <row r="103" spans="1:17" x14ac:dyDescent="0.25">
      <c r="A103">
        <v>2</v>
      </c>
      <c r="B103" t="s">
        <v>111</v>
      </c>
      <c r="C103">
        <v>2.2077193511159798</v>
      </c>
      <c r="D103">
        <v>0.48973333835601801</v>
      </c>
      <c r="E103" t="s">
        <v>5</v>
      </c>
      <c r="F103" t="s">
        <v>14</v>
      </c>
      <c r="G103">
        <v>7</v>
      </c>
      <c r="H103" t="str">
        <f t="shared" si="1"/>
        <v>Isolate_1-40_7</v>
      </c>
      <c r="I103">
        <v>4</v>
      </c>
      <c r="J103" s="1">
        <v>8.8400000000000006E-3</v>
      </c>
      <c r="K103">
        <v>8.84</v>
      </c>
      <c r="L103">
        <v>1.49E-3</v>
      </c>
      <c r="M103">
        <v>1.49</v>
      </c>
      <c r="N103">
        <v>4630.2838739848603</v>
      </c>
      <c r="O103" s="2">
        <v>0.78044377513998098</v>
      </c>
      <c r="P103">
        <v>6.8991229722374401</v>
      </c>
      <c r="Q103">
        <v>4.63028387398486</v>
      </c>
    </row>
    <row r="104" spans="1:17" x14ac:dyDescent="0.25">
      <c r="A104">
        <v>2</v>
      </c>
      <c r="B104" t="s">
        <v>112</v>
      </c>
      <c r="C104">
        <v>2.5940350398682699</v>
      </c>
      <c r="D104">
        <v>0.52643332878748605</v>
      </c>
      <c r="E104" t="s">
        <v>5</v>
      </c>
      <c r="F104" t="s">
        <v>14</v>
      </c>
      <c r="G104">
        <v>7</v>
      </c>
      <c r="H104" t="str">
        <f t="shared" si="1"/>
        <v>Isolate_1-40_7</v>
      </c>
      <c r="I104">
        <v>5</v>
      </c>
      <c r="J104" s="1">
        <v>8.7399999999999908E-3</v>
      </c>
      <c r="K104">
        <v>8.74</v>
      </c>
      <c r="L104">
        <v>1.7899999999999999E-3</v>
      </c>
      <c r="M104">
        <v>1.79</v>
      </c>
      <c r="N104">
        <v>4528.6924578705803</v>
      </c>
      <c r="O104" s="2">
        <v>0.92750108690942201</v>
      </c>
      <c r="P104">
        <v>8.1063594995883506</v>
      </c>
      <c r="Q104">
        <v>4.5286924578705801</v>
      </c>
    </row>
    <row r="105" spans="1:17" x14ac:dyDescent="0.25">
      <c r="A105">
        <v>2</v>
      </c>
      <c r="B105" t="s">
        <v>113</v>
      </c>
      <c r="C105">
        <v>0.62526319319741697</v>
      </c>
      <c r="D105">
        <v>0.33940000335375498</v>
      </c>
      <c r="E105" t="s">
        <v>5</v>
      </c>
      <c r="F105" t="s">
        <v>23</v>
      </c>
      <c r="G105">
        <v>5</v>
      </c>
      <c r="H105" t="str">
        <f t="shared" si="1"/>
        <v>NI_5</v>
      </c>
      <c r="I105">
        <v>6</v>
      </c>
      <c r="J105" s="1">
        <v>3.29E-3</v>
      </c>
      <c r="K105">
        <v>3.29</v>
      </c>
      <c r="L105" s="1">
        <v>8.0000000000000004E-4</v>
      </c>
      <c r="M105">
        <v>0.8</v>
      </c>
      <c r="N105">
        <v>2442.43434842741</v>
      </c>
      <c r="O105" s="2">
        <v>0.59390500873614904</v>
      </c>
      <c r="P105">
        <v>1.95394747874193</v>
      </c>
      <c r="Q105">
        <v>2.44243434842741</v>
      </c>
    </row>
    <row r="106" spans="1:17" x14ac:dyDescent="0.25">
      <c r="A106">
        <v>2</v>
      </c>
      <c r="B106" t="s">
        <v>114</v>
      </c>
      <c r="C106">
        <v>1.0729825413017899</v>
      </c>
      <c r="D106">
        <v>0.38193334142367003</v>
      </c>
      <c r="E106" t="s">
        <v>5</v>
      </c>
      <c r="F106" t="s">
        <v>23</v>
      </c>
      <c r="G106">
        <v>6</v>
      </c>
      <c r="H106" t="str">
        <f t="shared" si="1"/>
        <v>NI_6</v>
      </c>
      <c r="I106">
        <v>5</v>
      </c>
      <c r="J106" s="1">
        <v>4.8300000000000001E-3</v>
      </c>
      <c r="K106">
        <v>4.83</v>
      </c>
      <c r="L106">
        <v>1.5499999999999999E-3</v>
      </c>
      <c r="M106">
        <v>1.55</v>
      </c>
      <c r="N106">
        <v>2163.27125262458</v>
      </c>
      <c r="O106" s="2">
        <v>0.694217482726316</v>
      </c>
      <c r="P106">
        <v>3.3530704415681098</v>
      </c>
      <c r="Q106">
        <v>2.1632712526245799</v>
      </c>
    </row>
    <row r="107" spans="1:17" x14ac:dyDescent="0.25">
      <c r="A107">
        <v>2</v>
      </c>
      <c r="B107" t="s">
        <v>115</v>
      </c>
      <c r="C107">
        <v>1.0312280236628999</v>
      </c>
      <c r="D107">
        <v>0.37796666224797598</v>
      </c>
      <c r="E107" t="s">
        <v>5</v>
      </c>
      <c r="F107" t="s">
        <v>23</v>
      </c>
      <c r="G107">
        <v>7</v>
      </c>
      <c r="H107" t="str">
        <f t="shared" si="1"/>
        <v>NI_7</v>
      </c>
      <c r="I107">
        <v>1</v>
      </c>
      <c r="J107" s="1">
        <v>3.5000000000000001E-3</v>
      </c>
      <c r="K107">
        <v>3.5</v>
      </c>
      <c r="L107">
        <v>1.56E-3</v>
      </c>
      <c r="M107">
        <v>1.56</v>
      </c>
      <c r="N107">
        <v>2065.7612653503602</v>
      </c>
      <c r="O107" s="2">
        <v>0.92073930684187599</v>
      </c>
      <c r="P107">
        <v>3.2225875739465701</v>
      </c>
      <c r="Q107">
        <v>2.0657612653503601</v>
      </c>
    </row>
    <row r="108" spans="1:17" x14ac:dyDescent="0.25">
      <c r="A108">
        <v>2</v>
      </c>
      <c r="B108" t="s">
        <v>116</v>
      </c>
      <c r="C108">
        <v>2.0164912332568199</v>
      </c>
      <c r="D108">
        <v>0.47156666715939799</v>
      </c>
      <c r="E108" t="s">
        <v>5</v>
      </c>
      <c r="F108" t="s">
        <v>23</v>
      </c>
      <c r="G108">
        <v>7</v>
      </c>
      <c r="H108" t="str">
        <f t="shared" si="1"/>
        <v>NI_7</v>
      </c>
      <c r="I108">
        <v>2</v>
      </c>
      <c r="J108" s="1">
        <v>1.30899999999999E-2</v>
      </c>
      <c r="K108">
        <v>13.09</v>
      </c>
      <c r="L108">
        <v>1.83E-3</v>
      </c>
      <c r="M108">
        <v>1.83</v>
      </c>
      <c r="N108">
        <v>3443.4618054249099</v>
      </c>
      <c r="O108" s="2">
        <v>0.48140069548720998</v>
      </c>
      <c r="P108">
        <v>6.3015351039275798</v>
      </c>
      <c r="Q108">
        <v>3.44346180542491</v>
      </c>
    </row>
    <row r="109" spans="1:17" x14ac:dyDescent="0.25">
      <c r="A109">
        <v>2</v>
      </c>
      <c r="B109" t="s">
        <v>117</v>
      </c>
      <c r="C109">
        <v>0.98982454601087</v>
      </c>
      <c r="D109">
        <v>0.37403333187103299</v>
      </c>
      <c r="E109" t="s">
        <v>5</v>
      </c>
      <c r="F109" t="s">
        <v>23</v>
      </c>
      <c r="G109">
        <v>7</v>
      </c>
      <c r="H109" t="str">
        <f t="shared" si="1"/>
        <v>NI_7</v>
      </c>
      <c r="I109">
        <v>3</v>
      </c>
      <c r="J109" s="1">
        <v>4.2199999999999903E-3</v>
      </c>
      <c r="K109">
        <v>4.22</v>
      </c>
      <c r="L109">
        <v>1.6100000000000001E-3</v>
      </c>
      <c r="M109">
        <v>1.61</v>
      </c>
      <c r="N109">
        <v>1921.2432958285499</v>
      </c>
      <c r="O109" s="2">
        <v>0.73298618632321599</v>
      </c>
      <c r="P109">
        <v>3.0932017062839701</v>
      </c>
      <c r="Q109">
        <v>1.9212432958285499</v>
      </c>
    </row>
    <row r="110" spans="1:17" x14ac:dyDescent="0.25">
      <c r="A110">
        <v>2</v>
      </c>
      <c r="B110" t="s">
        <v>118</v>
      </c>
      <c r="C110">
        <v>1.39017535092538</v>
      </c>
      <c r="D110">
        <v>0.41206665833791101</v>
      </c>
      <c r="E110" t="s">
        <v>5</v>
      </c>
      <c r="F110" t="s">
        <v>23</v>
      </c>
      <c r="G110">
        <v>7</v>
      </c>
      <c r="H110" t="str">
        <f t="shared" si="1"/>
        <v>NI_7</v>
      </c>
      <c r="I110">
        <v>4</v>
      </c>
      <c r="J110" s="1">
        <v>7.6299999999999901E-3</v>
      </c>
      <c r="K110">
        <v>7.63</v>
      </c>
      <c r="L110">
        <v>1.8699999999999999E-3</v>
      </c>
      <c r="M110">
        <v>1.87</v>
      </c>
      <c r="N110">
        <v>2323.1539955303801</v>
      </c>
      <c r="O110" s="2">
        <v>0.569370638485165</v>
      </c>
      <c r="P110">
        <v>4.3442979716418098</v>
      </c>
      <c r="Q110">
        <v>2.3231539955303799</v>
      </c>
    </row>
    <row r="111" spans="1:17" x14ac:dyDescent="0.25">
      <c r="A111">
        <v>2</v>
      </c>
      <c r="B111" t="s">
        <v>119</v>
      </c>
      <c r="C111">
        <v>1.0063157918160399</v>
      </c>
      <c r="D111">
        <v>0.37560000022252399</v>
      </c>
      <c r="E111" t="s">
        <v>5</v>
      </c>
      <c r="F111" t="s">
        <v>23</v>
      </c>
      <c r="G111">
        <v>7</v>
      </c>
      <c r="H111" t="str">
        <f t="shared" si="1"/>
        <v>NI_7</v>
      </c>
      <c r="I111">
        <v>5</v>
      </c>
      <c r="J111" s="1">
        <v>5.1599999999999901E-3</v>
      </c>
      <c r="K111">
        <v>5.16</v>
      </c>
      <c r="L111">
        <v>1.6000000000000001E-3</v>
      </c>
      <c r="M111">
        <v>1.6</v>
      </c>
      <c r="N111">
        <v>1965.4605308907101</v>
      </c>
      <c r="O111" s="2">
        <v>0.60944512585758404</v>
      </c>
      <c r="P111">
        <v>3.1447368494251302</v>
      </c>
      <c r="Q111">
        <v>1.96546053089071</v>
      </c>
    </row>
    <row r="112" spans="1:17" x14ac:dyDescent="0.25">
      <c r="A112">
        <v>2</v>
      </c>
      <c r="B112" t="s">
        <v>120</v>
      </c>
      <c r="C112">
        <v>5.6774073353520098</v>
      </c>
      <c r="D112">
        <v>0.80096666018168095</v>
      </c>
      <c r="E112" t="s">
        <v>98</v>
      </c>
      <c r="F112" t="s">
        <v>6</v>
      </c>
      <c r="G112">
        <v>1</v>
      </c>
      <c r="H112" t="str">
        <f t="shared" si="1"/>
        <v>Isolate_1-39_1</v>
      </c>
      <c r="I112">
        <v>2</v>
      </c>
      <c r="J112" s="1">
        <v>6.2199999999999901E-2</v>
      </c>
      <c r="K112">
        <v>62.2</v>
      </c>
      <c r="L112">
        <v>4.4400000000000004E-3</v>
      </c>
      <c r="M112">
        <v>4.4400000000000004</v>
      </c>
      <c r="N112">
        <v>3995.9229556250102</v>
      </c>
      <c r="O112" s="2">
        <v>0.28523951644654399</v>
      </c>
      <c r="P112">
        <v>17.741897922974999</v>
      </c>
      <c r="Q112">
        <v>3.99592295562501</v>
      </c>
    </row>
    <row r="113" spans="1:17" x14ac:dyDescent="0.25">
      <c r="A113">
        <v>2</v>
      </c>
      <c r="B113" t="s">
        <v>121</v>
      </c>
      <c r="C113">
        <v>2.4614813327789302</v>
      </c>
      <c r="D113">
        <v>0.51153331995010398</v>
      </c>
      <c r="E113" t="s">
        <v>98</v>
      </c>
      <c r="F113" t="s">
        <v>6</v>
      </c>
      <c r="G113">
        <v>1</v>
      </c>
      <c r="H113" t="str">
        <f t="shared" si="1"/>
        <v>Isolate_1-39_1</v>
      </c>
      <c r="I113">
        <v>3</v>
      </c>
      <c r="J113" s="1">
        <v>1.9800000000000002E-2</v>
      </c>
      <c r="K113">
        <v>19.8</v>
      </c>
      <c r="L113">
        <v>2.1099999999999999E-3</v>
      </c>
      <c r="M113">
        <v>2.11</v>
      </c>
      <c r="N113">
        <v>3645.5588459403598</v>
      </c>
      <c r="O113" s="2">
        <v>0.38849137196637201</v>
      </c>
      <c r="P113">
        <v>7.6921291649341601</v>
      </c>
      <c r="Q113">
        <v>3.6455588459403598</v>
      </c>
    </row>
    <row r="114" spans="1:17" x14ac:dyDescent="0.25">
      <c r="A114">
        <v>2</v>
      </c>
      <c r="B114" t="s">
        <v>122</v>
      </c>
      <c r="C114">
        <v>5.1011109970234099</v>
      </c>
      <c r="D114">
        <v>0.74909998973210701</v>
      </c>
      <c r="E114" t="s">
        <v>98</v>
      </c>
      <c r="F114" t="s">
        <v>6</v>
      </c>
      <c r="G114">
        <v>1</v>
      </c>
      <c r="H114" t="str">
        <f t="shared" si="1"/>
        <v>Isolate_1-39_1</v>
      </c>
      <c r="I114">
        <v>4</v>
      </c>
      <c r="J114" s="1">
        <v>5.3679999999999901E-2</v>
      </c>
      <c r="K114">
        <v>53.68</v>
      </c>
      <c r="L114">
        <v>3.96E-3</v>
      </c>
      <c r="M114">
        <v>3.96</v>
      </c>
      <c r="N114">
        <v>4025.49794588337</v>
      </c>
      <c r="O114" s="2">
        <v>0.29696296322090399</v>
      </c>
      <c r="P114">
        <v>15.940971865698099</v>
      </c>
      <c r="Q114">
        <v>4.0254979458833704</v>
      </c>
    </row>
    <row r="115" spans="1:17" x14ac:dyDescent="0.25">
      <c r="A115">
        <v>2</v>
      </c>
      <c r="B115" t="s">
        <v>123</v>
      </c>
      <c r="C115">
        <v>0.67148155194741699</v>
      </c>
      <c r="D115">
        <v>0.35043333967526802</v>
      </c>
      <c r="E115" t="s">
        <v>98</v>
      </c>
      <c r="F115" t="s">
        <v>6</v>
      </c>
      <c r="G115">
        <v>2</v>
      </c>
      <c r="H115" t="str">
        <f t="shared" si="1"/>
        <v>Isolate_1-39_2</v>
      </c>
      <c r="I115">
        <v>1</v>
      </c>
      <c r="J115" s="1">
        <v>5.8999999999999903E-3</v>
      </c>
      <c r="K115">
        <v>5.9</v>
      </c>
      <c r="L115">
        <v>5.5000000000000003E-4</v>
      </c>
      <c r="M115">
        <v>0.55000000000000004</v>
      </c>
      <c r="N115">
        <v>3815.2360906103299</v>
      </c>
      <c r="O115" s="2">
        <v>0.35565760166706401</v>
      </c>
      <c r="P115">
        <v>2.09837984983568</v>
      </c>
      <c r="Q115">
        <v>3.81523609061033</v>
      </c>
    </row>
    <row r="116" spans="1:17" x14ac:dyDescent="0.25">
      <c r="A116">
        <v>2</v>
      </c>
      <c r="B116" t="s">
        <v>124</v>
      </c>
      <c r="C116">
        <v>3.5044445108484301</v>
      </c>
      <c r="D116">
        <v>0.60540000597635901</v>
      </c>
      <c r="E116" t="s">
        <v>98</v>
      </c>
      <c r="F116" t="s">
        <v>6</v>
      </c>
      <c r="G116">
        <v>2</v>
      </c>
      <c r="H116" t="str">
        <f t="shared" si="1"/>
        <v>Isolate_1-39_2</v>
      </c>
      <c r="I116">
        <v>2</v>
      </c>
      <c r="J116" s="1">
        <v>2.836E-2</v>
      </c>
      <c r="K116">
        <v>28.36</v>
      </c>
      <c r="L116">
        <v>2.0300000000000001E-3</v>
      </c>
      <c r="M116">
        <v>2.0299999999999998</v>
      </c>
      <c r="N116">
        <v>5394.7729538922904</v>
      </c>
      <c r="O116" s="2">
        <v>0.386156174062107</v>
      </c>
      <c r="P116">
        <v>10.9513890964014</v>
      </c>
      <c r="Q116">
        <v>5.3947729538922902</v>
      </c>
    </row>
    <row r="117" spans="1:17" x14ac:dyDescent="0.25">
      <c r="A117">
        <v>2</v>
      </c>
      <c r="B117" t="s">
        <v>125</v>
      </c>
      <c r="C117">
        <v>0.65111111270056898</v>
      </c>
      <c r="D117">
        <v>0.34860000014305098</v>
      </c>
      <c r="E117" t="s">
        <v>98</v>
      </c>
      <c r="F117" t="s">
        <v>6</v>
      </c>
      <c r="G117">
        <v>2</v>
      </c>
      <c r="H117" t="str">
        <f t="shared" si="1"/>
        <v>Isolate_1-39_2</v>
      </c>
      <c r="I117">
        <v>3</v>
      </c>
      <c r="J117" s="1">
        <v>3.64E-3</v>
      </c>
      <c r="K117">
        <v>3.64</v>
      </c>
      <c r="L117">
        <v>1E-3</v>
      </c>
      <c r="M117">
        <v>1</v>
      </c>
      <c r="N117">
        <v>2034.7222271892799</v>
      </c>
      <c r="O117" s="2">
        <v>0.55898962285419695</v>
      </c>
      <c r="P117">
        <v>2.0347222271892802</v>
      </c>
      <c r="Q117">
        <v>2.0347222271892802</v>
      </c>
    </row>
    <row r="118" spans="1:17" x14ac:dyDescent="0.25">
      <c r="A118">
        <v>2</v>
      </c>
      <c r="B118" t="s">
        <v>126</v>
      </c>
      <c r="C118">
        <v>0.98814811529936597</v>
      </c>
      <c r="D118">
        <v>0.37893333037694299</v>
      </c>
      <c r="E118" t="s">
        <v>98</v>
      </c>
      <c r="F118" t="s">
        <v>6</v>
      </c>
      <c r="G118">
        <v>3</v>
      </c>
      <c r="H118" t="str">
        <f t="shared" si="1"/>
        <v>Isolate_1-39_3</v>
      </c>
      <c r="I118">
        <v>1</v>
      </c>
      <c r="J118" s="1">
        <v>2.7399999999999898E-3</v>
      </c>
      <c r="K118">
        <v>2.74</v>
      </c>
      <c r="L118">
        <v>7.2999999999999996E-4</v>
      </c>
      <c r="M118">
        <v>0.73</v>
      </c>
      <c r="N118">
        <v>4230.0861100144102</v>
      </c>
      <c r="O118" s="2">
        <v>1.12699374463888</v>
      </c>
      <c r="P118">
        <v>3.0879628603105198</v>
      </c>
      <c r="Q118">
        <v>4.23008611001441</v>
      </c>
    </row>
    <row r="119" spans="1:17" x14ac:dyDescent="0.25">
      <c r="A119">
        <v>2</v>
      </c>
      <c r="B119" t="s">
        <v>127</v>
      </c>
      <c r="C119">
        <v>5.3322222674334503</v>
      </c>
      <c r="D119">
        <v>0.76990000406901005</v>
      </c>
      <c r="E119" t="s">
        <v>98</v>
      </c>
      <c r="F119" t="s">
        <v>14</v>
      </c>
      <c r="G119">
        <v>1</v>
      </c>
      <c r="H119" t="str">
        <f t="shared" si="1"/>
        <v>Isolate_1-40_1</v>
      </c>
      <c r="I119">
        <v>2</v>
      </c>
      <c r="J119" s="1">
        <v>6.0589999999999901E-2</v>
      </c>
      <c r="K119">
        <v>60.59</v>
      </c>
      <c r="L119">
        <v>4.0499999999999998E-3</v>
      </c>
      <c r="M119">
        <v>4.05</v>
      </c>
      <c r="N119">
        <v>4114.3690335134597</v>
      </c>
      <c r="O119" s="2">
        <v>0.27501558979583302</v>
      </c>
      <c r="P119">
        <v>16.663194585729499</v>
      </c>
      <c r="Q119">
        <v>4.1143690335134604</v>
      </c>
    </row>
    <row r="120" spans="1:17" x14ac:dyDescent="0.25">
      <c r="A120">
        <v>2</v>
      </c>
      <c r="B120" t="s">
        <v>128</v>
      </c>
      <c r="C120">
        <v>4.3059260933487504</v>
      </c>
      <c r="D120">
        <v>0.67753334840138801</v>
      </c>
      <c r="E120" t="s">
        <v>98</v>
      </c>
      <c r="F120" t="s">
        <v>14</v>
      </c>
      <c r="G120">
        <v>1</v>
      </c>
      <c r="H120" t="str">
        <f t="shared" si="1"/>
        <v>Isolate_1-40_1</v>
      </c>
      <c r="I120">
        <v>3</v>
      </c>
      <c r="J120" s="1">
        <v>3.4130000000000001E-2</v>
      </c>
      <c r="K120">
        <v>34.130000000000003</v>
      </c>
      <c r="L120">
        <v>2.1700000000000001E-3</v>
      </c>
      <c r="M120">
        <v>2.17</v>
      </c>
      <c r="N120">
        <v>6200.9304339699702</v>
      </c>
      <c r="O120" s="2">
        <v>0.394257809601958</v>
      </c>
      <c r="P120">
        <v>13.4560190417148</v>
      </c>
      <c r="Q120">
        <v>6.2009304339699698</v>
      </c>
    </row>
    <row r="121" spans="1:17" x14ac:dyDescent="0.25">
      <c r="A121">
        <v>2</v>
      </c>
      <c r="B121" t="s">
        <v>129</v>
      </c>
      <c r="C121">
        <v>4.6833332114749497</v>
      </c>
      <c r="D121">
        <v>0.71149998903274503</v>
      </c>
      <c r="E121" t="s">
        <v>98</v>
      </c>
      <c r="F121" t="s">
        <v>14</v>
      </c>
      <c r="G121">
        <v>1</v>
      </c>
      <c r="H121" t="str">
        <f t="shared" si="1"/>
        <v>Isolate_1-40_1</v>
      </c>
      <c r="I121">
        <v>4</v>
      </c>
      <c r="J121" s="1">
        <v>4.99E-2</v>
      </c>
      <c r="K121">
        <v>49.9</v>
      </c>
      <c r="L121">
        <v>3.5500000000000002E-3</v>
      </c>
      <c r="M121">
        <v>3.55</v>
      </c>
      <c r="N121">
        <v>4122.6524748899201</v>
      </c>
      <c r="O121" s="2">
        <v>0.29329491554828102</v>
      </c>
      <c r="P121">
        <v>14.635416285859201</v>
      </c>
      <c r="Q121">
        <v>4.1226524748899198</v>
      </c>
    </row>
    <row r="122" spans="1:17" x14ac:dyDescent="0.25">
      <c r="A122">
        <v>2</v>
      </c>
      <c r="B122" t="s">
        <v>130</v>
      </c>
      <c r="C122">
        <v>2.40888884332445</v>
      </c>
      <c r="D122">
        <v>0.5067999958992</v>
      </c>
      <c r="E122" t="s">
        <v>98</v>
      </c>
      <c r="F122" t="s">
        <v>14</v>
      </c>
      <c r="G122">
        <v>2</v>
      </c>
      <c r="H122" t="str">
        <f t="shared" si="1"/>
        <v>Isolate_1-40_2</v>
      </c>
      <c r="I122">
        <v>1</v>
      </c>
      <c r="J122" s="1">
        <v>2.8989999999999901E-2</v>
      </c>
      <c r="K122">
        <v>28.99</v>
      </c>
      <c r="L122">
        <v>2.3700000000000001E-3</v>
      </c>
      <c r="M122">
        <v>2.37</v>
      </c>
      <c r="N122">
        <v>3176.2774832864602</v>
      </c>
      <c r="O122" s="2">
        <v>0.25966807986853802</v>
      </c>
      <c r="P122">
        <v>7.5277776353889001</v>
      </c>
      <c r="Q122">
        <v>3.17627748328646</v>
      </c>
    </row>
    <row r="123" spans="1:17" x14ac:dyDescent="0.25">
      <c r="A123">
        <v>2</v>
      </c>
      <c r="B123" t="s">
        <v>131</v>
      </c>
      <c r="C123">
        <v>3.88222228156196</v>
      </c>
      <c r="D123">
        <v>0.63940000534057595</v>
      </c>
      <c r="E123" t="s">
        <v>98</v>
      </c>
      <c r="F123" t="s">
        <v>14</v>
      </c>
      <c r="G123">
        <v>2</v>
      </c>
      <c r="H123" t="str">
        <f t="shared" si="1"/>
        <v>Isolate_1-40_2</v>
      </c>
      <c r="I123">
        <v>2</v>
      </c>
      <c r="J123" s="1">
        <v>3.3340000000000002E-2</v>
      </c>
      <c r="K123">
        <v>33.340000000000003</v>
      </c>
      <c r="L123">
        <v>2.8999999999999998E-3</v>
      </c>
      <c r="M123">
        <v>2.9</v>
      </c>
      <c r="N123">
        <v>4183.4291827176303</v>
      </c>
      <c r="O123" s="2">
        <v>0.36388556178407699</v>
      </c>
      <c r="P123">
        <v>12.131944629881099</v>
      </c>
      <c r="Q123">
        <v>4.1834291827176298</v>
      </c>
    </row>
    <row r="124" spans="1:17" x14ac:dyDescent="0.25">
      <c r="A124">
        <v>2</v>
      </c>
      <c r="B124" t="s">
        <v>132</v>
      </c>
      <c r="C124">
        <v>5.9192591419926401</v>
      </c>
      <c r="D124">
        <v>0.82273332277933797</v>
      </c>
      <c r="E124" t="s">
        <v>98</v>
      </c>
      <c r="F124" t="s">
        <v>14</v>
      </c>
      <c r="G124">
        <v>2</v>
      </c>
      <c r="H124" t="str">
        <f t="shared" si="1"/>
        <v>Isolate_1-40_2</v>
      </c>
      <c r="I124">
        <v>3</v>
      </c>
      <c r="J124" s="1">
        <v>7.1760000000000004E-2</v>
      </c>
      <c r="K124">
        <v>71.760000000000005</v>
      </c>
      <c r="L124">
        <v>4.8799999999999998E-3</v>
      </c>
      <c r="M124">
        <v>4.88</v>
      </c>
      <c r="N124">
        <v>3790.5091841653698</v>
      </c>
      <c r="O124" s="2">
        <v>0.25777152757423299</v>
      </c>
      <c r="P124">
        <v>18.497684818726999</v>
      </c>
      <c r="Q124">
        <v>3.7905091841653702</v>
      </c>
    </row>
    <row r="125" spans="1:17" x14ac:dyDescent="0.25">
      <c r="A125">
        <v>2</v>
      </c>
      <c r="B125" t="s">
        <v>133</v>
      </c>
      <c r="C125">
        <v>1.65962964958615</v>
      </c>
      <c r="D125">
        <v>0.43936666846275302</v>
      </c>
      <c r="E125" t="s">
        <v>98</v>
      </c>
      <c r="F125" t="s">
        <v>14</v>
      </c>
      <c r="G125">
        <v>2</v>
      </c>
      <c r="H125" t="str">
        <f t="shared" si="1"/>
        <v>Isolate_1-40_2</v>
      </c>
      <c r="I125">
        <v>4</v>
      </c>
      <c r="J125" s="1">
        <v>1.9949999999999898E-2</v>
      </c>
      <c r="K125">
        <v>19.95</v>
      </c>
      <c r="L125">
        <v>4.4600000000000004E-3</v>
      </c>
      <c r="M125">
        <v>4.46</v>
      </c>
      <c r="N125">
        <v>1162.85709752393</v>
      </c>
      <c r="O125" s="2">
        <v>0.25996705037376999</v>
      </c>
      <c r="P125">
        <v>5.18634265495671</v>
      </c>
      <c r="Q125">
        <v>1.1628570975239301</v>
      </c>
    </row>
    <row r="126" spans="1:17" x14ac:dyDescent="0.25">
      <c r="A126">
        <v>2</v>
      </c>
      <c r="B126" t="s">
        <v>134</v>
      </c>
      <c r="C126">
        <v>1.3996296635380501</v>
      </c>
      <c r="D126">
        <v>0.415966669718424</v>
      </c>
      <c r="E126" t="s">
        <v>98</v>
      </c>
      <c r="F126" t="s">
        <v>23</v>
      </c>
      <c r="G126">
        <v>1</v>
      </c>
      <c r="H126" t="str">
        <f t="shared" si="1"/>
        <v>NI_1</v>
      </c>
      <c r="I126">
        <v>3</v>
      </c>
      <c r="J126" s="1">
        <v>1.54E-2</v>
      </c>
      <c r="K126">
        <v>15.4</v>
      </c>
      <c r="L126">
        <v>4.0400000000000002E-3</v>
      </c>
      <c r="M126">
        <v>4.04</v>
      </c>
      <c r="N126">
        <v>1082.6343313258401</v>
      </c>
      <c r="O126" s="2">
        <v>0.28401575964651998</v>
      </c>
      <c r="P126">
        <v>4.3738426985564098</v>
      </c>
      <c r="Q126">
        <v>1.08263433132584</v>
      </c>
    </row>
    <row r="127" spans="1:17" x14ac:dyDescent="0.25">
      <c r="A127">
        <v>2</v>
      </c>
      <c r="B127" t="s">
        <v>135</v>
      </c>
      <c r="C127">
        <v>0.63444455023165103</v>
      </c>
      <c r="D127">
        <v>0.34710000952084902</v>
      </c>
      <c r="E127" t="s">
        <v>98</v>
      </c>
      <c r="F127" t="s">
        <v>23</v>
      </c>
      <c r="G127">
        <v>1</v>
      </c>
      <c r="H127" t="str">
        <f t="shared" si="1"/>
        <v>NI_1</v>
      </c>
      <c r="I127">
        <v>4</v>
      </c>
      <c r="J127" s="1">
        <v>5.45999999999999E-3</v>
      </c>
      <c r="K127">
        <v>5.46</v>
      </c>
      <c r="L127">
        <v>1.4300000000000001E-3</v>
      </c>
      <c r="M127">
        <v>1.43</v>
      </c>
      <c r="N127">
        <v>1386.4609926390999</v>
      </c>
      <c r="O127" s="2">
        <v>0.363120736167383</v>
      </c>
      <c r="P127">
        <v>1.98263921947391</v>
      </c>
      <c r="Q127">
        <v>1.3864609926391001</v>
      </c>
    </row>
    <row r="128" spans="1:17" x14ac:dyDescent="0.25">
      <c r="A128">
        <v>2</v>
      </c>
      <c r="B128" t="s">
        <v>136</v>
      </c>
      <c r="C128">
        <v>0.66148143785971203</v>
      </c>
      <c r="D128">
        <v>0.34953332940737403</v>
      </c>
      <c r="E128" t="s">
        <v>98</v>
      </c>
      <c r="F128" t="s">
        <v>23</v>
      </c>
      <c r="G128">
        <v>2</v>
      </c>
      <c r="H128" t="str">
        <f t="shared" si="1"/>
        <v>NI_2</v>
      </c>
      <c r="I128">
        <v>1</v>
      </c>
      <c r="J128" s="1">
        <v>6.5599999999999903E-3</v>
      </c>
      <c r="K128">
        <v>6.56</v>
      </c>
      <c r="L128">
        <v>1.1800000000000001E-3</v>
      </c>
      <c r="M128">
        <v>1.18</v>
      </c>
      <c r="N128">
        <v>1751.80465534881</v>
      </c>
      <c r="O128" s="2">
        <v>0.31511120324872</v>
      </c>
      <c r="P128">
        <v>2.0671294933116</v>
      </c>
      <c r="Q128">
        <v>1.75180465534881</v>
      </c>
    </row>
    <row r="129" spans="1:17" x14ac:dyDescent="0.25">
      <c r="A129">
        <v>2</v>
      </c>
      <c r="B129" t="s">
        <v>137</v>
      </c>
      <c r="C129">
        <v>0.64592595012099696</v>
      </c>
      <c r="D129">
        <v>0.34813333551088999</v>
      </c>
      <c r="E129" t="s">
        <v>98</v>
      </c>
      <c r="F129" t="s">
        <v>23</v>
      </c>
      <c r="G129">
        <v>2</v>
      </c>
      <c r="H129" t="str">
        <f t="shared" si="1"/>
        <v>NI_2</v>
      </c>
      <c r="I129">
        <v>2</v>
      </c>
      <c r="J129" s="1">
        <v>6.7600000000000004E-3</v>
      </c>
      <c r="K129">
        <v>6.76</v>
      </c>
      <c r="L129">
        <v>1.2899999999999999E-3</v>
      </c>
      <c r="M129">
        <v>1.29</v>
      </c>
      <c r="N129">
        <v>1564.74309622334</v>
      </c>
      <c r="O129" s="2">
        <v>0.29859742516688098</v>
      </c>
      <c r="P129">
        <v>2.0185185941281101</v>
      </c>
      <c r="Q129">
        <v>1.5647430962233499</v>
      </c>
    </row>
    <row r="130" spans="1:17" x14ac:dyDescent="0.25">
      <c r="A130">
        <v>2</v>
      </c>
      <c r="B130" t="s">
        <v>138</v>
      </c>
      <c r="C130">
        <v>0.81296300005029798</v>
      </c>
      <c r="D130">
        <v>0.36316667000452701</v>
      </c>
      <c r="E130" t="s">
        <v>98</v>
      </c>
      <c r="F130" t="s">
        <v>23</v>
      </c>
      <c r="G130">
        <v>2</v>
      </c>
      <c r="H130" t="str">
        <f t="shared" ref="H130:H193" si="2">CONCATENATE(F130,"_",G130)</f>
        <v>NI_2</v>
      </c>
      <c r="I130">
        <v>3</v>
      </c>
      <c r="J130" s="1">
        <v>8.8800000000000007E-3</v>
      </c>
      <c r="K130">
        <v>8.8800000000000008</v>
      </c>
      <c r="L130">
        <v>1.8400000000000001E-3</v>
      </c>
      <c r="M130">
        <v>1.84</v>
      </c>
      <c r="N130">
        <v>1380.7116169332501</v>
      </c>
      <c r="O130" s="2">
        <v>0.28609339810328599</v>
      </c>
      <c r="P130">
        <v>2.5405093751571801</v>
      </c>
      <c r="Q130">
        <v>1.3807116169332501</v>
      </c>
    </row>
    <row r="131" spans="1:17" x14ac:dyDescent="0.25">
      <c r="A131">
        <v>2</v>
      </c>
      <c r="B131" t="s">
        <v>139</v>
      </c>
      <c r="C131">
        <v>0.94296293788486096</v>
      </c>
      <c r="D131">
        <v>0.37486666440963701</v>
      </c>
      <c r="E131" t="s">
        <v>98</v>
      </c>
      <c r="F131" t="s">
        <v>23</v>
      </c>
      <c r="G131">
        <v>2</v>
      </c>
      <c r="H131" t="str">
        <f t="shared" si="2"/>
        <v>NI_2</v>
      </c>
      <c r="I131">
        <v>4</v>
      </c>
      <c r="J131" s="1">
        <v>1.264E-2</v>
      </c>
      <c r="K131">
        <v>12.64</v>
      </c>
      <c r="L131">
        <v>2.97E-3</v>
      </c>
      <c r="M131">
        <v>2.97</v>
      </c>
      <c r="N131">
        <v>992.17480838053496</v>
      </c>
      <c r="O131" s="2">
        <v>0.23312968203245199</v>
      </c>
      <c r="P131">
        <v>2.9467591808901901</v>
      </c>
      <c r="Q131">
        <v>0.99217480838053496</v>
      </c>
    </row>
    <row r="132" spans="1:17" x14ac:dyDescent="0.25">
      <c r="A132">
        <v>2</v>
      </c>
      <c r="B132" t="s">
        <v>140</v>
      </c>
      <c r="C132">
        <v>0.81444450660988199</v>
      </c>
      <c r="D132">
        <v>0.36330000559488901</v>
      </c>
      <c r="E132" t="s">
        <v>98</v>
      </c>
      <c r="F132" t="s">
        <v>23</v>
      </c>
      <c r="G132">
        <v>3</v>
      </c>
      <c r="H132" t="str">
        <f t="shared" si="2"/>
        <v>NI_3</v>
      </c>
      <c r="I132">
        <v>1</v>
      </c>
      <c r="J132" s="1">
        <v>9.4400000000000005E-3</v>
      </c>
      <c r="K132">
        <v>9.44</v>
      </c>
      <c r="L132">
        <v>2.66E-3</v>
      </c>
      <c r="M132">
        <v>2.66</v>
      </c>
      <c r="N132">
        <v>956.81920419393998</v>
      </c>
      <c r="O132" s="2">
        <v>0.26961219101227502</v>
      </c>
      <c r="P132">
        <v>2.5451390831558802</v>
      </c>
      <c r="Q132">
        <v>0.95681920419393995</v>
      </c>
    </row>
    <row r="133" spans="1:17" x14ac:dyDescent="0.25">
      <c r="A133">
        <v>2</v>
      </c>
      <c r="B133" t="s">
        <v>141</v>
      </c>
      <c r="C133">
        <v>1.35929826267979</v>
      </c>
      <c r="D133">
        <v>0.40913333495457999</v>
      </c>
      <c r="E133" t="s">
        <v>98</v>
      </c>
      <c r="F133" t="s">
        <v>6</v>
      </c>
      <c r="G133">
        <v>3</v>
      </c>
      <c r="H133" t="str">
        <f t="shared" si="2"/>
        <v>Isolate_1-39_3</v>
      </c>
      <c r="I133">
        <v>2</v>
      </c>
      <c r="J133" s="1">
        <v>9.7699999999999905E-3</v>
      </c>
      <c r="K133">
        <v>9.77</v>
      </c>
      <c r="L133">
        <v>8.7000000000000001E-4</v>
      </c>
      <c r="M133">
        <v>0.87</v>
      </c>
      <c r="N133">
        <v>4882.5368630739404</v>
      </c>
      <c r="O133" s="2">
        <v>0.43478066232081197</v>
      </c>
      <c r="P133">
        <v>4.2478070708743303</v>
      </c>
      <c r="Q133">
        <v>4.8825368630739403</v>
      </c>
    </row>
    <row r="134" spans="1:17" x14ac:dyDescent="0.25">
      <c r="A134">
        <v>2</v>
      </c>
      <c r="B134" t="s">
        <v>142</v>
      </c>
      <c r="C134">
        <v>4.5533331988150598</v>
      </c>
      <c r="D134">
        <v>0.71256665388743101</v>
      </c>
      <c r="E134" t="s">
        <v>98</v>
      </c>
      <c r="F134" t="s">
        <v>6</v>
      </c>
      <c r="G134">
        <v>3</v>
      </c>
      <c r="H134" t="str">
        <f t="shared" si="2"/>
        <v>Isolate_1-39_3</v>
      </c>
      <c r="I134">
        <v>3</v>
      </c>
      <c r="J134" s="1">
        <v>4.0559999999999902E-2</v>
      </c>
      <c r="K134">
        <v>40.56</v>
      </c>
      <c r="L134">
        <v>3.3300000000000001E-3</v>
      </c>
      <c r="M134">
        <v>3.33</v>
      </c>
      <c r="N134">
        <v>4273.0228967859102</v>
      </c>
      <c r="O134" s="2">
        <v>0.35081770824203801</v>
      </c>
      <c r="P134">
        <v>14.229166246297099</v>
      </c>
      <c r="Q134">
        <v>4.2730228967859096</v>
      </c>
    </row>
    <row r="135" spans="1:17" x14ac:dyDescent="0.25">
      <c r="A135">
        <v>2</v>
      </c>
      <c r="B135" t="s">
        <v>143</v>
      </c>
      <c r="C135">
        <v>1.1610525867395201</v>
      </c>
      <c r="D135">
        <v>0.39029999574025498</v>
      </c>
      <c r="E135" t="s">
        <v>98</v>
      </c>
      <c r="F135" t="s">
        <v>6</v>
      </c>
      <c r="G135">
        <v>3</v>
      </c>
      <c r="H135" t="str">
        <f t="shared" si="2"/>
        <v>Isolate_1-39_3</v>
      </c>
      <c r="I135">
        <v>4</v>
      </c>
      <c r="J135" s="1">
        <v>7.3299999999999902E-3</v>
      </c>
      <c r="K135">
        <v>7.33</v>
      </c>
      <c r="L135" s="1">
        <v>8.0000000000000004E-4</v>
      </c>
      <c r="M135">
        <v>0.8</v>
      </c>
      <c r="N135">
        <v>4535.3616669512603</v>
      </c>
      <c r="O135" s="2">
        <v>0.49499172354174797</v>
      </c>
      <c r="P135">
        <v>3.62828933356101</v>
      </c>
      <c r="Q135">
        <v>4.5353616669512604</v>
      </c>
    </row>
    <row r="136" spans="1:17" x14ac:dyDescent="0.25">
      <c r="A136">
        <v>2</v>
      </c>
      <c r="B136" t="s">
        <v>144</v>
      </c>
      <c r="C136">
        <v>1.6698245542091199</v>
      </c>
      <c r="D136">
        <v>0.43863333264986698</v>
      </c>
      <c r="E136" t="s">
        <v>98</v>
      </c>
      <c r="F136" t="s">
        <v>14</v>
      </c>
      <c r="G136">
        <v>3</v>
      </c>
      <c r="H136" t="str">
        <f t="shared" si="2"/>
        <v>Isolate_1-40_3</v>
      </c>
      <c r="I136">
        <v>1</v>
      </c>
      <c r="J136" s="1">
        <v>2.2169999999999902E-2</v>
      </c>
      <c r="K136">
        <v>22.17</v>
      </c>
      <c r="L136">
        <v>3.5100000000000001E-3</v>
      </c>
      <c r="M136">
        <v>3.51</v>
      </c>
      <c r="N136">
        <v>1486.6671600864699</v>
      </c>
      <c r="O136" s="2">
        <v>0.23537220261179601</v>
      </c>
      <c r="P136">
        <v>5.2182017319035099</v>
      </c>
      <c r="Q136">
        <v>1.48666716008647</v>
      </c>
    </row>
    <row r="137" spans="1:17" x14ac:dyDescent="0.25">
      <c r="A137">
        <v>2</v>
      </c>
      <c r="B137" t="s">
        <v>145</v>
      </c>
      <c r="C137">
        <v>0.709122745614303</v>
      </c>
      <c r="D137">
        <v>0.34736666083335899</v>
      </c>
      <c r="E137" t="s">
        <v>98</v>
      </c>
      <c r="F137" t="s">
        <v>14</v>
      </c>
      <c r="G137">
        <v>3</v>
      </c>
      <c r="H137" t="str">
        <f t="shared" si="2"/>
        <v>Isolate_1-40_3</v>
      </c>
      <c r="I137">
        <v>2</v>
      </c>
      <c r="J137" s="1">
        <v>8.7200000000000003E-3</v>
      </c>
      <c r="K137">
        <v>8.7200000000000006</v>
      </c>
      <c r="L137">
        <v>2.0999999999999999E-3</v>
      </c>
      <c r="M137">
        <v>2.1</v>
      </c>
      <c r="N137">
        <v>1055.24218097366</v>
      </c>
      <c r="O137" s="2">
        <v>0.25412942431705199</v>
      </c>
      <c r="P137">
        <v>2.2160085800446998</v>
      </c>
      <c r="Q137">
        <v>1.0552421809736601</v>
      </c>
    </row>
    <row r="138" spans="1:17" x14ac:dyDescent="0.25">
      <c r="A138">
        <v>2</v>
      </c>
      <c r="B138" t="s">
        <v>146</v>
      </c>
      <c r="C138">
        <v>2.5947369107028901</v>
      </c>
      <c r="D138">
        <v>0.52650000651677498</v>
      </c>
      <c r="E138" t="s">
        <v>98</v>
      </c>
      <c r="F138" t="s">
        <v>14</v>
      </c>
      <c r="G138">
        <v>3</v>
      </c>
      <c r="H138" t="str">
        <f t="shared" si="2"/>
        <v>Isolate_1-40_3</v>
      </c>
      <c r="I138">
        <v>3</v>
      </c>
      <c r="J138" s="1">
        <v>2.7380000000000002E-2</v>
      </c>
      <c r="K138">
        <v>27.38</v>
      </c>
      <c r="L138">
        <v>2.9199999999999999E-3</v>
      </c>
      <c r="M138">
        <v>2.92</v>
      </c>
      <c r="N138">
        <v>2776.9016595707299</v>
      </c>
      <c r="O138" s="2">
        <v>0.29614875259118101</v>
      </c>
      <c r="P138">
        <v>8.1085528459465301</v>
      </c>
      <c r="Q138">
        <v>2.7769016595707301</v>
      </c>
    </row>
    <row r="139" spans="1:17" x14ac:dyDescent="0.25">
      <c r="A139">
        <v>2</v>
      </c>
      <c r="B139" t="s">
        <v>147</v>
      </c>
      <c r="C139">
        <v>1.21754388223615</v>
      </c>
      <c r="D139">
        <v>0.39566666881243401</v>
      </c>
      <c r="E139" t="s">
        <v>98</v>
      </c>
      <c r="F139" t="s">
        <v>14</v>
      </c>
      <c r="G139">
        <v>3</v>
      </c>
      <c r="H139" t="str">
        <f t="shared" si="2"/>
        <v>Isolate_1-40_3</v>
      </c>
      <c r="I139">
        <v>4</v>
      </c>
      <c r="J139" s="1">
        <v>8.1399999999999893E-3</v>
      </c>
      <c r="K139">
        <v>8.14</v>
      </c>
      <c r="L139">
        <v>1.58E-3</v>
      </c>
      <c r="M139">
        <v>1.58</v>
      </c>
      <c r="N139">
        <v>2408.11685568858</v>
      </c>
      <c r="O139" s="2">
        <v>0.46742317346289403</v>
      </c>
      <c r="P139">
        <v>3.8048246319879602</v>
      </c>
      <c r="Q139">
        <v>2.4081168556885801</v>
      </c>
    </row>
    <row r="140" spans="1:17" x14ac:dyDescent="0.25">
      <c r="A140">
        <v>2</v>
      </c>
      <c r="B140" t="s">
        <v>148</v>
      </c>
      <c r="C140">
        <v>1.1768421708491801</v>
      </c>
      <c r="D140">
        <v>0.39180000623067202</v>
      </c>
      <c r="E140" t="s">
        <v>98</v>
      </c>
      <c r="F140" t="s">
        <v>23</v>
      </c>
      <c r="G140">
        <v>3</v>
      </c>
      <c r="H140" t="str">
        <f t="shared" si="2"/>
        <v>NI_3</v>
      </c>
      <c r="I140">
        <v>2</v>
      </c>
      <c r="J140" s="1">
        <v>1.50899999999999E-2</v>
      </c>
      <c r="K140">
        <v>15.09</v>
      </c>
      <c r="L140">
        <v>3.8400000000000001E-3</v>
      </c>
      <c r="M140">
        <v>3.84</v>
      </c>
      <c r="N140">
        <v>957.71661039158596</v>
      </c>
      <c r="O140" s="2">
        <v>0.24371317322092001</v>
      </c>
      <c r="P140">
        <v>3.6776317839036898</v>
      </c>
      <c r="Q140">
        <v>0.95771661039158595</v>
      </c>
    </row>
    <row r="141" spans="1:17" x14ac:dyDescent="0.25">
      <c r="A141">
        <v>2</v>
      </c>
      <c r="B141" t="s">
        <v>149</v>
      </c>
      <c r="C141">
        <v>0.75859648302981697</v>
      </c>
      <c r="D141">
        <v>0.35206666588783297</v>
      </c>
      <c r="E141" t="s">
        <v>98</v>
      </c>
      <c r="F141" t="s">
        <v>23</v>
      </c>
      <c r="G141">
        <v>3</v>
      </c>
      <c r="H141" t="str">
        <f t="shared" si="2"/>
        <v>NI_3</v>
      </c>
      <c r="I141">
        <v>3</v>
      </c>
      <c r="J141" s="1">
        <v>8.5900000000000004E-3</v>
      </c>
      <c r="K141">
        <v>8.59</v>
      </c>
      <c r="L141">
        <v>1.74E-3</v>
      </c>
      <c r="M141">
        <v>1.74</v>
      </c>
      <c r="N141">
        <v>1362.4218445219401</v>
      </c>
      <c r="O141" s="2">
        <v>0.27597369143983402</v>
      </c>
      <c r="P141">
        <v>2.3706140094681798</v>
      </c>
      <c r="Q141">
        <v>1.36242184452194</v>
      </c>
    </row>
    <row r="142" spans="1:17" x14ac:dyDescent="0.25">
      <c r="A142">
        <v>2</v>
      </c>
      <c r="B142" t="s">
        <v>150</v>
      </c>
      <c r="C142">
        <v>0.69087713643124204</v>
      </c>
      <c r="D142">
        <v>0.34563332796096802</v>
      </c>
      <c r="E142" t="s">
        <v>98</v>
      </c>
      <c r="F142" t="s">
        <v>23</v>
      </c>
      <c r="G142">
        <v>3</v>
      </c>
      <c r="H142" t="str">
        <f t="shared" si="2"/>
        <v>NI_3</v>
      </c>
      <c r="I142">
        <v>4</v>
      </c>
      <c r="J142" s="1">
        <v>6.4799999999999901E-3</v>
      </c>
      <c r="K142">
        <v>6.48</v>
      </c>
      <c r="L142">
        <v>1.06E-3</v>
      </c>
      <c r="M142">
        <v>1.06</v>
      </c>
      <c r="N142">
        <v>2036.78401070531</v>
      </c>
      <c r="O142" s="2">
        <v>0.33317763138080703</v>
      </c>
      <c r="P142">
        <v>2.15899105134763</v>
      </c>
      <c r="Q142">
        <v>2.0367840107053099</v>
      </c>
    </row>
    <row r="143" spans="1:17" x14ac:dyDescent="0.25">
      <c r="A143">
        <v>2</v>
      </c>
      <c r="B143" t="s">
        <v>151</v>
      </c>
      <c r="C143">
        <v>0.65578945059525295</v>
      </c>
      <c r="D143">
        <v>0.34229999780654902</v>
      </c>
      <c r="E143" t="s">
        <v>152</v>
      </c>
      <c r="F143" t="s">
        <v>6</v>
      </c>
      <c r="G143">
        <v>1</v>
      </c>
      <c r="H143" t="str">
        <f t="shared" si="2"/>
        <v>Isolate_1-39_1</v>
      </c>
      <c r="I143" t="s">
        <v>7</v>
      </c>
      <c r="J143" s="1">
        <v>3.13E-3</v>
      </c>
      <c r="K143">
        <v>3.13</v>
      </c>
      <c r="L143">
        <v>3.1E-4</v>
      </c>
      <c r="M143">
        <v>0.31</v>
      </c>
      <c r="N143">
        <v>6610.7807519682801</v>
      </c>
      <c r="O143" s="2">
        <v>0.65474186361347197</v>
      </c>
      <c r="P143">
        <v>2.0493420331101699</v>
      </c>
      <c r="Q143">
        <v>6.6107807519682797</v>
      </c>
    </row>
    <row r="144" spans="1:17" x14ac:dyDescent="0.25">
      <c r="A144">
        <v>2</v>
      </c>
      <c r="B144" t="s">
        <v>153</v>
      </c>
      <c r="C144">
        <v>3.9859649507623001</v>
      </c>
      <c r="D144">
        <v>0.65866667032241799</v>
      </c>
      <c r="E144" t="s">
        <v>152</v>
      </c>
      <c r="F144" t="s">
        <v>6</v>
      </c>
      <c r="G144">
        <v>2</v>
      </c>
      <c r="H144" t="str">
        <f t="shared" si="2"/>
        <v>Isolate_1-39_2</v>
      </c>
      <c r="I144" t="s">
        <v>7</v>
      </c>
      <c r="J144" s="1">
        <v>1.129E-2</v>
      </c>
      <c r="K144">
        <v>11.29</v>
      </c>
      <c r="L144">
        <v>2.81E-3</v>
      </c>
      <c r="M144">
        <v>2.81</v>
      </c>
      <c r="N144">
        <v>4432.7902032498896</v>
      </c>
      <c r="O144" s="2">
        <v>1.10328967857681</v>
      </c>
      <c r="P144">
        <v>12.456140471132199</v>
      </c>
      <c r="Q144">
        <v>4.4327902032498896</v>
      </c>
    </row>
    <row r="145" spans="1:17" x14ac:dyDescent="0.25">
      <c r="A145">
        <v>2</v>
      </c>
      <c r="B145" t="s">
        <v>154</v>
      </c>
      <c r="C145">
        <v>3.5210526951572301</v>
      </c>
      <c r="D145">
        <v>0.61450000603993704</v>
      </c>
      <c r="E145" t="s">
        <v>152</v>
      </c>
      <c r="F145" t="s">
        <v>6</v>
      </c>
      <c r="G145">
        <v>4</v>
      </c>
      <c r="H145" t="str">
        <f t="shared" si="2"/>
        <v>Isolate_1-39_4</v>
      </c>
      <c r="I145" t="s">
        <v>7</v>
      </c>
      <c r="J145" s="1">
        <v>7.28E-3</v>
      </c>
      <c r="K145">
        <v>7.28</v>
      </c>
      <c r="L145">
        <v>1.74E-3</v>
      </c>
      <c r="M145">
        <v>1.74</v>
      </c>
      <c r="N145">
        <v>6323.7296967622797</v>
      </c>
      <c r="O145" s="2">
        <v>1.51144088906131</v>
      </c>
      <c r="P145">
        <v>11.0032896723664</v>
      </c>
      <c r="Q145">
        <v>6.3237296967622703</v>
      </c>
    </row>
    <row r="146" spans="1:17" x14ac:dyDescent="0.25">
      <c r="A146">
        <v>2</v>
      </c>
      <c r="B146" t="s">
        <v>155</v>
      </c>
      <c r="C146">
        <v>3.2684210225155499</v>
      </c>
      <c r="D146">
        <v>0.59049999713897705</v>
      </c>
      <c r="E146" t="s">
        <v>152</v>
      </c>
      <c r="F146" t="s">
        <v>6</v>
      </c>
      <c r="G146">
        <v>5</v>
      </c>
      <c r="H146" t="str">
        <f t="shared" si="2"/>
        <v>Isolate_1-39_5</v>
      </c>
      <c r="I146" t="s">
        <v>7</v>
      </c>
      <c r="J146" s="1">
        <v>6.43E-3</v>
      </c>
      <c r="K146">
        <v>6.43</v>
      </c>
      <c r="L146">
        <v>1.7600000000000001E-3</v>
      </c>
      <c r="M146">
        <v>1.76</v>
      </c>
      <c r="N146">
        <v>5803.3043723642504</v>
      </c>
      <c r="O146" s="2">
        <v>1.5884627831043701</v>
      </c>
      <c r="P146">
        <v>10.213815695361101</v>
      </c>
      <c r="Q146">
        <v>5.8033043723642503</v>
      </c>
    </row>
    <row r="147" spans="1:17" x14ac:dyDescent="0.25">
      <c r="A147">
        <v>2</v>
      </c>
      <c r="B147" t="s">
        <v>156</v>
      </c>
      <c r="C147">
        <v>2.1589472753959802</v>
      </c>
      <c r="D147">
        <v>0.48509999116261798</v>
      </c>
      <c r="E147" t="s">
        <v>152</v>
      </c>
      <c r="F147" t="s">
        <v>14</v>
      </c>
      <c r="G147">
        <v>1</v>
      </c>
      <c r="H147" t="str">
        <f t="shared" si="2"/>
        <v>Isolate_1-40_1</v>
      </c>
      <c r="I147" t="s">
        <v>7</v>
      </c>
      <c r="J147" s="1">
        <v>6.3600000000000002E-3</v>
      </c>
      <c r="K147">
        <v>6.36</v>
      </c>
      <c r="L147">
        <v>1.2800000000000001E-3</v>
      </c>
      <c r="M147">
        <v>1.28</v>
      </c>
      <c r="N147">
        <v>5270.8673715722098</v>
      </c>
      <c r="O147" s="2">
        <v>1.06080349616548</v>
      </c>
      <c r="P147">
        <v>6.7467102356124302</v>
      </c>
      <c r="Q147">
        <v>5.2708673715722103</v>
      </c>
    </row>
    <row r="148" spans="1:17" x14ac:dyDescent="0.25">
      <c r="A148">
        <v>2</v>
      </c>
      <c r="B148" t="s">
        <v>157</v>
      </c>
      <c r="C148">
        <v>4.5094738006591797</v>
      </c>
      <c r="D148">
        <v>0.70840001106262196</v>
      </c>
      <c r="E148" t="s">
        <v>152</v>
      </c>
      <c r="F148" t="s">
        <v>14</v>
      </c>
      <c r="G148">
        <v>2</v>
      </c>
      <c r="H148" t="str">
        <f t="shared" si="2"/>
        <v>Isolate_1-40_2</v>
      </c>
      <c r="I148" t="s">
        <v>7</v>
      </c>
      <c r="J148" s="1">
        <v>1.231E-2</v>
      </c>
      <c r="K148">
        <v>12.31</v>
      </c>
      <c r="L148">
        <v>2.81E-3</v>
      </c>
      <c r="M148">
        <v>2.81</v>
      </c>
      <c r="N148">
        <v>5014.9842089181302</v>
      </c>
      <c r="O148" s="2">
        <v>1.1447689380227399</v>
      </c>
      <c r="P148">
        <v>14.092105627059899</v>
      </c>
      <c r="Q148">
        <v>5.01498420891813</v>
      </c>
    </row>
    <row r="149" spans="1:17" x14ac:dyDescent="0.25">
      <c r="A149">
        <v>2</v>
      </c>
      <c r="B149" t="s">
        <v>158</v>
      </c>
      <c r="C149">
        <v>0.77578949510005502</v>
      </c>
      <c r="D149">
        <v>0.35370000203450502</v>
      </c>
      <c r="E149" t="s">
        <v>152</v>
      </c>
      <c r="F149" t="s">
        <v>14</v>
      </c>
      <c r="G149">
        <v>3</v>
      </c>
      <c r="H149" t="str">
        <f t="shared" si="2"/>
        <v>Isolate_1-40_3</v>
      </c>
      <c r="I149" t="s">
        <v>7</v>
      </c>
      <c r="J149" s="1">
        <v>2.97E-3</v>
      </c>
      <c r="K149">
        <v>2.97</v>
      </c>
      <c r="L149">
        <v>5.1000000000000004E-4</v>
      </c>
      <c r="M149">
        <v>0.51</v>
      </c>
      <c r="N149">
        <v>4753.6121023287697</v>
      </c>
      <c r="O149" s="2">
        <v>0.816276825652414</v>
      </c>
      <c r="P149">
        <v>2.4243421721876701</v>
      </c>
      <c r="Q149">
        <v>4.7536121023287699</v>
      </c>
    </row>
    <row r="150" spans="1:17" x14ac:dyDescent="0.25">
      <c r="A150">
        <v>2</v>
      </c>
      <c r="B150" t="s">
        <v>159</v>
      </c>
      <c r="C150">
        <v>0.38280697454485901</v>
      </c>
      <c r="D150">
        <v>0.31636666258176199</v>
      </c>
      <c r="E150" t="s">
        <v>152</v>
      </c>
      <c r="F150" t="s">
        <v>14</v>
      </c>
      <c r="G150">
        <v>4</v>
      </c>
      <c r="H150" t="str">
        <f t="shared" si="2"/>
        <v>Isolate_1-40_4</v>
      </c>
      <c r="I150" t="s">
        <v>7</v>
      </c>
      <c r="J150" s="1">
        <v>1.0399999999999899E-3</v>
      </c>
      <c r="K150">
        <v>1.04</v>
      </c>
      <c r="L150">
        <v>1.4999999999999999E-4</v>
      </c>
      <c r="M150">
        <v>0.15</v>
      </c>
      <c r="N150">
        <v>7975.14530301791</v>
      </c>
      <c r="O150" s="2">
        <v>1.15026134178143</v>
      </c>
      <c r="P150">
        <v>1.19627179545269</v>
      </c>
      <c r="Q150">
        <v>7.9751453030179098</v>
      </c>
    </row>
    <row r="151" spans="1:17" x14ac:dyDescent="0.25">
      <c r="A151">
        <v>2</v>
      </c>
      <c r="B151" t="s">
        <v>160</v>
      </c>
      <c r="C151">
        <v>2.7529824323821499</v>
      </c>
      <c r="D151">
        <v>0.54153333107630397</v>
      </c>
      <c r="E151" t="s">
        <v>152</v>
      </c>
      <c r="F151" t="s">
        <v>23</v>
      </c>
      <c r="G151">
        <v>1</v>
      </c>
      <c r="H151" t="str">
        <f t="shared" si="2"/>
        <v>NI_1</v>
      </c>
      <c r="I151" t="s">
        <v>7</v>
      </c>
      <c r="J151" s="1">
        <v>1.039E-2</v>
      </c>
      <c r="K151">
        <v>10.39</v>
      </c>
      <c r="L151">
        <v>2.63E-3</v>
      </c>
      <c r="M151">
        <v>2.63</v>
      </c>
      <c r="N151">
        <v>3271.1293160434302</v>
      </c>
      <c r="O151" s="2">
        <v>0.82801444669819202</v>
      </c>
      <c r="P151">
        <v>8.6030701011942092</v>
      </c>
      <c r="Q151">
        <v>3.2711293160434298</v>
      </c>
    </row>
    <row r="152" spans="1:17" x14ac:dyDescent="0.25">
      <c r="A152">
        <v>2</v>
      </c>
      <c r="B152" t="s">
        <v>161</v>
      </c>
      <c r="C152">
        <v>2.1136842401404099</v>
      </c>
      <c r="D152">
        <v>0.48080000281333901</v>
      </c>
      <c r="E152" t="s">
        <v>152</v>
      </c>
      <c r="F152" t="s">
        <v>23</v>
      </c>
      <c r="G152">
        <v>2</v>
      </c>
      <c r="H152" t="str">
        <f t="shared" si="2"/>
        <v>NI_2</v>
      </c>
      <c r="I152" t="s">
        <v>7</v>
      </c>
      <c r="J152" s="1">
        <v>8.9200000000000008E-3</v>
      </c>
      <c r="K152">
        <v>8.92</v>
      </c>
      <c r="L152">
        <v>1.7600000000000001E-3</v>
      </c>
      <c r="M152">
        <v>1.76</v>
      </c>
      <c r="N152">
        <v>3752.9904832038601</v>
      </c>
      <c r="O152" s="2">
        <v>0.74050036439896705</v>
      </c>
      <c r="P152">
        <v>6.6052632504387896</v>
      </c>
      <c r="Q152">
        <v>3.7529904832038601</v>
      </c>
    </row>
    <row r="153" spans="1:17" x14ac:dyDescent="0.25">
      <c r="A153">
        <v>2</v>
      </c>
      <c r="B153" t="s">
        <v>162</v>
      </c>
      <c r="C153">
        <v>0.12561408260412399</v>
      </c>
      <c r="D153">
        <v>0.291933337847392</v>
      </c>
      <c r="E153" t="s">
        <v>152</v>
      </c>
      <c r="F153" t="s">
        <v>23</v>
      </c>
      <c r="G153">
        <v>3</v>
      </c>
      <c r="H153" t="str">
        <f t="shared" si="2"/>
        <v>NI_3</v>
      </c>
      <c r="I153" t="s">
        <v>7</v>
      </c>
      <c r="J153" s="1">
        <v>5.69999999999999E-4</v>
      </c>
      <c r="K153">
        <v>0.56999999999999995</v>
      </c>
      <c r="L153" s="1">
        <v>4.0000000000000002E-4</v>
      </c>
      <c r="M153">
        <v>0.4</v>
      </c>
      <c r="N153">
        <v>981.36002034471505</v>
      </c>
      <c r="O153" s="2">
        <v>0.68867369848751903</v>
      </c>
      <c r="P153">
        <v>0.39254400813788598</v>
      </c>
      <c r="Q153">
        <v>0.98136002034471503</v>
      </c>
    </row>
    <row r="154" spans="1:17" x14ac:dyDescent="0.25">
      <c r="A154">
        <v>2</v>
      </c>
      <c r="B154" t="s">
        <v>163</v>
      </c>
      <c r="C154">
        <v>7.0140742019370697</v>
      </c>
      <c r="D154">
        <v>0.62563333908716801</v>
      </c>
      <c r="E154" t="s">
        <v>98</v>
      </c>
      <c r="F154" t="s">
        <v>6</v>
      </c>
      <c r="G154">
        <v>2</v>
      </c>
      <c r="H154" t="str">
        <f t="shared" si="2"/>
        <v>Isolate_1-39_2</v>
      </c>
      <c r="I154">
        <v>4</v>
      </c>
      <c r="J154" s="1">
        <v>6.8180000000000004E-2</v>
      </c>
      <c r="K154">
        <v>68.180000000000007</v>
      </c>
      <c r="L154">
        <v>4.7800000000000004E-3</v>
      </c>
      <c r="M154">
        <v>4.78</v>
      </c>
      <c r="N154">
        <v>4585.5610629818702</v>
      </c>
      <c r="O154" s="2">
        <v>0.321486973908087</v>
      </c>
      <c r="P154">
        <v>21.918981881053401</v>
      </c>
      <c r="Q154">
        <v>4.5855610629818697</v>
      </c>
    </row>
    <row r="155" spans="1:17" x14ac:dyDescent="0.25">
      <c r="A155">
        <v>2</v>
      </c>
      <c r="B155" t="s">
        <v>164</v>
      </c>
      <c r="C155">
        <v>2.5459261117158101</v>
      </c>
      <c r="D155">
        <v>0.53913335005442298</v>
      </c>
      <c r="E155" t="s">
        <v>152</v>
      </c>
      <c r="F155" t="s">
        <v>14</v>
      </c>
      <c r="G155">
        <v>5</v>
      </c>
      <c r="H155" t="str">
        <f t="shared" si="2"/>
        <v>Isolate_1-40_5</v>
      </c>
      <c r="I155" t="s">
        <v>7</v>
      </c>
      <c r="J155" s="1">
        <v>9.11E-3</v>
      </c>
      <c r="K155">
        <v>9.11</v>
      </c>
      <c r="L155">
        <v>1.6800000000000001E-3</v>
      </c>
      <c r="M155">
        <v>1.68</v>
      </c>
      <c r="N155">
        <v>4735.7256542332798</v>
      </c>
      <c r="O155" s="2">
        <v>0.87332811186738901</v>
      </c>
      <c r="P155">
        <v>7.9560190991119102</v>
      </c>
      <c r="Q155">
        <v>4.7357256542332804</v>
      </c>
    </row>
    <row r="156" spans="1:17" x14ac:dyDescent="0.25">
      <c r="A156">
        <v>2</v>
      </c>
      <c r="B156" t="s">
        <v>165</v>
      </c>
      <c r="C156">
        <v>2.4066664819364201</v>
      </c>
      <c r="D156">
        <v>0.52659998337427805</v>
      </c>
      <c r="E156" t="s">
        <v>152</v>
      </c>
      <c r="F156" t="s">
        <v>14</v>
      </c>
      <c r="G156">
        <v>6</v>
      </c>
      <c r="H156" t="str">
        <f t="shared" si="2"/>
        <v>Isolate_1-40_6</v>
      </c>
      <c r="I156" t="s">
        <v>7</v>
      </c>
      <c r="J156" s="1">
        <v>7.6E-3</v>
      </c>
      <c r="K156">
        <v>7.6</v>
      </c>
      <c r="L156">
        <v>1.66E-3</v>
      </c>
      <c r="M156">
        <v>1.66</v>
      </c>
      <c r="N156">
        <v>4530.6221421995897</v>
      </c>
      <c r="O156" s="2">
        <v>0.98958325737517305</v>
      </c>
      <c r="P156">
        <v>7.52083275605131</v>
      </c>
      <c r="Q156">
        <v>4.5306221421995803</v>
      </c>
    </row>
    <row r="157" spans="1:17" x14ac:dyDescent="0.25">
      <c r="A157">
        <v>2</v>
      </c>
      <c r="B157" t="s">
        <v>166</v>
      </c>
      <c r="C157">
        <v>9.8762963083055304</v>
      </c>
      <c r="D157">
        <v>0.754433333873749</v>
      </c>
      <c r="E157" t="s">
        <v>152</v>
      </c>
      <c r="F157" t="s">
        <v>23</v>
      </c>
      <c r="G157">
        <v>4</v>
      </c>
      <c r="H157" t="str">
        <f t="shared" si="2"/>
        <v>NI_4</v>
      </c>
      <c r="I157" t="s">
        <v>7</v>
      </c>
      <c r="J157" s="1">
        <v>1.619E-2</v>
      </c>
      <c r="K157">
        <v>16.190000000000001</v>
      </c>
      <c r="L157">
        <v>3.5300000000000002E-3</v>
      </c>
      <c r="M157">
        <v>3.53</v>
      </c>
      <c r="N157">
        <v>8743.1801596189198</v>
      </c>
      <c r="O157" s="2">
        <v>1.9063264955809001</v>
      </c>
      <c r="P157">
        <v>30.863425963454802</v>
      </c>
      <c r="Q157">
        <v>8.7431801596189196</v>
      </c>
    </row>
    <row r="158" spans="1:17" x14ac:dyDescent="0.25">
      <c r="A158">
        <v>2</v>
      </c>
      <c r="B158" t="s">
        <v>167</v>
      </c>
      <c r="C158">
        <v>1.2607406951763001</v>
      </c>
      <c r="D158">
        <v>0.42346666256586701</v>
      </c>
      <c r="E158" t="s">
        <v>152</v>
      </c>
      <c r="F158" t="s">
        <v>23</v>
      </c>
      <c r="G158">
        <v>5</v>
      </c>
      <c r="H158" t="str">
        <f t="shared" si="2"/>
        <v>NI_5</v>
      </c>
      <c r="I158" t="s">
        <v>7</v>
      </c>
      <c r="J158" s="1">
        <v>6.4200000000000004E-3</v>
      </c>
      <c r="K158">
        <v>6.42</v>
      </c>
      <c r="L158">
        <v>1.4599999999999999E-3</v>
      </c>
      <c r="M158">
        <v>1.46</v>
      </c>
      <c r="N158">
        <v>2698.5032002917401</v>
      </c>
      <c r="O158" s="2">
        <v>0.61367829788566097</v>
      </c>
      <c r="P158">
        <v>3.93981467242594</v>
      </c>
      <c r="Q158">
        <v>2.6985032002917402</v>
      </c>
    </row>
    <row r="159" spans="1:17" x14ac:dyDescent="0.25">
      <c r="A159">
        <v>2</v>
      </c>
      <c r="B159" t="s">
        <v>168</v>
      </c>
      <c r="C159">
        <v>2.5803508674889302</v>
      </c>
      <c r="D159">
        <v>0.54513333241144801</v>
      </c>
      <c r="E159" t="s">
        <v>152</v>
      </c>
      <c r="F159" t="s">
        <v>6</v>
      </c>
      <c r="G159">
        <v>1</v>
      </c>
      <c r="H159" t="str">
        <f t="shared" si="2"/>
        <v>Isolate_1-39_1</v>
      </c>
      <c r="I159">
        <v>1</v>
      </c>
      <c r="J159" s="1">
        <v>7.7600000000000004E-3</v>
      </c>
      <c r="K159" s="1">
        <f>J159*1000</f>
        <v>7.7600000000000007</v>
      </c>
      <c r="L159">
        <v>2.4299999999999999E-3</v>
      </c>
      <c r="M159">
        <v>2.4300000000000002</v>
      </c>
      <c r="N159">
        <v>3318.3524530464601</v>
      </c>
      <c r="O159" s="2">
        <f>P159/K159</f>
        <v>1.0391232552709921</v>
      </c>
      <c r="P159">
        <v>8.0635964609029003</v>
      </c>
      <c r="Q159">
        <v>3.3183524530464599</v>
      </c>
    </row>
    <row r="160" spans="1:17" x14ac:dyDescent="0.25">
      <c r="A160">
        <v>2</v>
      </c>
      <c r="B160" t="s">
        <v>169</v>
      </c>
      <c r="C160">
        <v>1.4957894567857699</v>
      </c>
      <c r="D160">
        <v>0.44209999839464797</v>
      </c>
      <c r="E160" t="s">
        <v>152</v>
      </c>
      <c r="F160" t="s">
        <v>6</v>
      </c>
      <c r="G160">
        <v>1</v>
      </c>
      <c r="H160" t="str">
        <f t="shared" si="2"/>
        <v>Isolate_1-39_1</v>
      </c>
      <c r="I160">
        <v>2</v>
      </c>
      <c r="J160" s="1">
        <v>6.5599999999999903E-3</v>
      </c>
      <c r="K160" s="1">
        <f t="shared" ref="K160:K223" si="3">J160*1000</f>
        <v>6.5599999999999907</v>
      </c>
      <c r="L160">
        <v>1.8500000000000001E-3</v>
      </c>
      <c r="M160">
        <v>1.85</v>
      </c>
      <c r="N160">
        <v>2526.67137970569</v>
      </c>
      <c r="O160" s="2">
        <f t="shared" ref="O160:O223" si="4">P160/K160</f>
        <v>0.71255214214261231</v>
      </c>
      <c r="P160">
        <v>4.6743420524555299</v>
      </c>
      <c r="Q160">
        <v>2.5266713797056899</v>
      </c>
    </row>
    <row r="161" spans="1:17" x14ac:dyDescent="0.25">
      <c r="A161">
        <v>2</v>
      </c>
      <c r="B161" t="s">
        <v>170</v>
      </c>
      <c r="C161">
        <v>5.2782457334953401</v>
      </c>
      <c r="D161">
        <v>0.80143334468205796</v>
      </c>
      <c r="E161" t="s">
        <v>152</v>
      </c>
      <c r="F161" t="s">
        <v>6</v>
      </c>
      <c r="G161">
        <v>1</v>
      </c>
      <c r="H161" t="str">
        <f t="shared" si="2"/>
        <v>Isolate_1-39_1</v>
      </c>
      <c r="I161">
        <v>3</v>
      </c>
      <c r="J161" s="1">
        <v>1.205E-2</v>
      </c>
      <c r="K161" s="1">
        <f t="shared" si="3"/>
        <v>12.05</v>
      </c>
      <c r="L161">
        <v>4.1799999999999997E-3</v>
      </c>
      <c r="M161">
        <v>4.18</v>
      </c>
      <c r="N161">
        <v>3946.0569179839599</v>
      </c>
      <c r="O161" s="2">
        <f t="shared" si="4"/>
        <v>1.3688396611761742</v>
      </c>
      <c r="P161">
        <v>16.4945179171729</v>
      </c>
      <c r="Q161">
        <v>3.94605691798396</v>
      </c>
    </row>
    <row r="162" spans="1:17" x14ac:dyDescent="0.25">
      <c r="A162">
        <v>2</v>
      </c>
      <c r="B162" t="s">
        <v>171</v>
      </c>
      <c r="C162">
        <v>0.54350884337174299</v>
      </c>
      <c r="D162">
        <v>0.351633340120316</v>
      </c>
      <c r="E162" t="s">
        <v>152</v>
      </c>
      <c r="F162" t="s">
        <v>6</v>
      </c>
      <c r="G162">
        <v>2</v>
      </c>
      <c r="H162" t="str">
        <f t="shared" si="2"/>
        <v>Isolate_1-39_2</v>
      </c>
      <c r="I162">
        <v>1</v>
      </c>
      <c r="J162" s="1">
        <v>2.4399999999999899E-3</v>
      </c>
      <c r="K162" s="1">
        <f t="shared" si="3"/>
        <v>2.4399999999999897</v>
      </c>
      <c r="L162">
        <v>6.6E-4</v>
      </c>
      <c r="M162">
        <v>0.66</v>
      </c>
      <c r="N162">
        <v>2573.4320235404498</v>
      </c>
      <c r="O162" s="2">
        <f t="shared" si="4"/>
        <v>0.69609226866258489</v>
      </c>
      <c r="P162">
        <v>1.6984651355367</v>
      </c>
      <c r="Q162">
        <v>2.57343202354045</v>
      </c>
    </row>
    <row r="163" spans="1:17" x14ac:dyDescent="0.25">
      <c r="A163">
        <v>2</v>
      </c>
      <c r="B163" t="s">
        <v>172</v>
      </c>
      <c r="C163">
        <v>2.8652631609063399</v>
      </c>
      <c r="D163">
        <v>0.57220000028610196</v>
      </c>
      <c r="E163" t="s">
        <v>152</v>
      </c>
      <c r="F163" t="s">
        <v>6</v>
      </c>
      <c r="G163">
        <v>2</v>
      </c>
      <c r="H163" t="str">
        <f t="shared" si="2"/>
        <v>Isolate_1-39_2</v>
      </c>
      <c r="I163">
        <v>2</v>
      </c>
      <c r="J163" s="1">
        <v>5.5500000000000002E-3</v>
      </c>
      <c r="K163" s="1">
        <f t="shared" si="3"/>
        <v>5.55</v>
      </c>
      <c r="L163">
        <v>1.7700000000000001E-3</v>
      </c>
      <c r="M163">
        <v>1.77</v>
      </c>
      <c r="N163">
        <v>5058.7273321086504</v>
      </c>
      <c r="O163" s="2">
        <f t="shared" si="4"/>
        <v>1.6133238518616777</v>
      </c>
      <c r="P163">
        <v>8.9539473778323107</v>
      </c>
      <c r="Q163">
        <v>5.0587273321086501</v>
      </c>
    </row>
    <row r="164" spans="1:17" x14ac:dyDescent="0.25">
      <c r="A164">
        <v>2</v>
      </c>
      <c r="B164" t="s">
        <v>173</v>
      </c>
      <c r="C164">
        <v>4.4347369043450602</v>
      </c>
      <c r="D164">
        <v>0.72130000591278098</v>
      </c>
      <c r="E164" t="s">
        <v>152</v>
      </c>
      <c r="F164" t="s">
        <v>6</v>
      </c>
      <c r="G164">
        <v>2</v>
      </c>
      <c r="H164" t="str">
        <f t="shared" si="2"/>
        <v>Isolate_1-39_2</v>
      </c>
      <c r="I164">
        <v>3</v>
      </c>
      <c r="J164" s="1">
        <v>1.02799999999999E-2</v>
      </c>
      <c r="K164" s="1">
        <f t="shared" si="3"/>
        <v>10.2799999999999</v>
      </c>
      <c r="L164">
        <v>3.3500000000000001E-3</v>
      </c>
      <c r="M164">
        <v>3.35</v>
      </c>
      <c r="N164">
        <v>4136.8814406203901</v>
      </c>
      <c r="O164" s="2">
        <f t="shared" si="4"/>
        <v>1.3481082515640501</v>
      </c>
      <c r="P164">
        <v>13.8585528260783</v>
      </c>
      <c r="Q164">
        <v>4.1368814406203898</v>
      </c>
    </row>
    <row r="165" spans="1:17" x14ac:dyDescent="0.25">
      <c r="A165">
        <v>2</v>
      </c>
      <c r="B165" t="s">
        <v>174</v>
      </c>
      <c r="C165">
        <v>2.7357895332470301</v>
      </c>
      <c r="D165">
        <v>0.55990000565846798</v>
      </c>
      <c r="E165" t="s">
        <v>152</v>
      </c>
      <c r="F165" t="s">
        <v>6</v>
      </c>
      <c r="G165">
        <v>3</v>
      </c>
      <c r="H165" t="str">
        <f t="shared" si="2"/>
        <v>Isolate_1-39_3</v>
      </c>
      <c r="I165">
        <v>1</v>
      </c>
      <c r="J165" s="1">
        <v>6.2700000000000004E-3</v>
      </c>
      <c r="K165" s="1">
        <f t="shared" si="3"/>
        <v>6.2700000000000005</v>
      </c>
      <c r="L165">
        <v>1.49E-3</v>
      </c>
      <c r="M165">
        <v>1.49</v>
      </c>
      <c r="N165">
        <v>5737.8136183872202</v>
      </c>
      <c r="O165" s="2">
        <f t="shared" si="4"/>
        <v>1.3635314659325293</v>
      </c>
      <c r="P165">
        <v>8.5493422913969592</v>
      </c>
      <c r="Q165">
        <v>5.7378136183872197</v>
      </c>
    </row>
    <row r="166" spans="1:17" x14ac:dyDescent="0.25">
      <c r="A166">
        <v>2</v>
      </c>
      <c r="B166" t="s">
        <v>175</v>
      </c>
      <c r="C166">
        <v>2.9385965330558901</v>
      </c>
      <c r="D166">
        <v>0.57916667064031002</v>
      </c>
      <c r="E166" t="s">
        <v>152</v>
      </c>
      <c r="F166" t="s">
        <v>14</v>
      </c>
      <c r="G166">
        <v>1</v>
      </c>
      <c r="H166" t="str">
        <f t="shared" si="2"/>
        <v>Isolate_1-40_1</v>
      </c>
      <c r="I166">
        <v>1</v>
      </c>
      <c r="J166" s="1">
        <v>5.8300000000000001E-3</v>
      </c>
      <c r="K166" s="1">
        <f t="shared" si="3"/>
        <v>5.83</v>
      </c>
      <c r="L166">
        <v>1.2099999999999999E-3</v>
      </c>
      <c r="M166">
        <v>1.21</v>
      </c>
      <c r="N166">
        <v>7589.3505502476501</v>
      </c>
      <c r="O166" s="2">
        <f t="shared" si="4"/>
        <v>1.5751482274098902</v>
      </c>
      <c r="P166">
        <v>9.18311416579966</v>
      </c>
      <c r="Q166">
        <v>7.5893505502476497</v>
      </c>
    </row>
    <row r="167" spans="1:17" x14ac:dyDescent="0.25">
      <c r="A167">
        <v>2</v>
      </c>
      <c r="B167" t="s">
        <v>176</v>
      </c>
      <c r="C167">
        <v>3.1487719217936201</v>
      </c>
      <c r="D167">
        <v>0.59913333257039403</v>
      </c>
      <c r="E167" t="s">
        <v>152</v>
      </c>
      <c r="F167" t="s">
        <v>14</v>
      </c>
      <c r="G167">
        <v>1</v>
      </c>
      <c r="H167" t="str">
        <f t="shared" si="2"/>
        <v>Isolate_1-40_1</v>
      </c>
      <c r="I167">
        <v>3</v>
      </c>
      <c r="J167" s="1">
        <v>7.1300000000000001E-3</v>
      </c>
      <c r="K167" s="1">
        <f t="shared" si="3"/>
        <v>7.13</v>
      </c>
      <c r="L167">
        <v>1.7899999999999999E-3</v>
      </c>
      <c r="M167">
        <v>1.79</v>
      </c>
      <c r="N167">
        <v>5497.1576846955704</v>
      </c>
      <c r="O167" s="2">
        <f t="shared" si="4"/>
        <v>1.3800718451058991</v>
      </c>
      <c r="P167">
        <v>9.8399122556050607</v>
      </c>
      <c r="Q167">
        <v>5.4971576846955701</v>
      </c>
    </row>
    <row r="168" spans="1:17" x14ac:dyDescent="0.25">
      <c r="A168">
        <v>2</v>
      </c>
      <c r="B168" t="s">
        <v>177</v>
      </c>
      <c r="C168">
        <v>2.8814036804333099</v>
      </c>
      <c r="D168">
        <v>0.57373334964116396</v>
      </c>
      <c r="E168" t="s">
        <v>152</v>
      </c>
      <c r="F168" t="s">
        <v>14</v>
      </c>
      <c r="G168">
        <v>2</v>
      </c>
      <c r="H168" t="str">
        <f t="shared" si="2"/>
        <v>Isolate_1-40_2</v>
      </c>
      <c r="I168">
        <v>1</v>
      </c>
      <c r="J168" s="1">
        <v>5.47E-3</v>
      </c>
      <c r="K168" s="1">
        <f t="shared" si="3"/>
        <v>5.47</v>
      </c>
      <c r="L168">
        <v>1.25E-3</v>
      </c>
      <c r="M168">
        <v>1.25</v>
      </c>
      <c r="N168">
        <v>7203.5092010832705</v>
      </c>
      <c r="O168" s="2">
        <f t="shared" si="4"/>
        <v>1.6461401282182964</v>
      </c>
      <c r="P168">
        <v>9.0043865013540803</v>
      </c>
      <c r="Q168">
        <v>7.2035092010832704</v>
      </c>
    </row>
    <row r="169" spans="1:17" x14ac:dyDescent="0.25">
      <c r="A169">
        <v>2</v>
      </c>
      <c r="B169" t="s">
        <v>178</v>
      </c>
      <c r="C169">
        <v>2.9435087923418002</v>
      </c>
      <c r="D169">
        <v>0.57963333527247096</v>
      </c>
      <c r="E169" t="s">
        <v>152</v>
      </c>
      <c r="F169" t="s">
        <v>14</v>
      </c>
      <c r="G169">
        <v>2</v>
      </c>
      <c r="H169" t="str">
        <f t="shared" si="2"/>
        <v>Isolate_1-40_2</v>
      </c>
      <c r="I169">
        <v>2</v>
      </c>
      <c r="J169" s="1">
        <v>6.9100000000000003E-3</v>
      </c>
      <c r="K169" s="1">
        <f t="shared" si="3"/>
        <v>6.91</v>
      </c>
      <c r="L169">
        <v>2.1099999999999999E-3</v>
      </c>
      <c r="M169">
        <v>2.11</v>
      </c>
      <c r="N169">
        <v>4359.4620739659404</v>
      </c>
      <c r="O169" s="2">
        <f t="shared" si="4"/>
        <v>1.3311816173759958</v>
      </c>
      <c r="P169">
        <v>9.1984649760681307</v>
      </c>
      <c r="Q169">
        <v>4.3594620739659398</v>
      </c>
    </row>
    <row r="170" spans="1:17" x14ac:dyDescent="0.25">
      <c r="A170">
        <v>2</v>
      </c>
      <c r="B170" t="s">
        <v>179</v>
      </c>
      <c r="C170">
        <v>1.7196490262684101</v>
      </c>
      <c r="D170">
        <v>0.46336665749549899</v>
      </c>
      <c r="E170" t="s">
        <v>152</v>
      </c>
      <c r="F170" t="s">
        <v>14</v>
      </c>
      <c r="G170">
        <v>3</v>
      </c>
      <c r="H170" t="str">
        <f t="shared" si="2"/>
        <v>Isolate_1-40_3</v>
      </c>
      <c r="I170">
        <v>1</v>
      </c>
      <c r="J170" s="1">
        <v>5.0400000000000002E-3</v>
      </c>
      <c r="K170" s="1">
        <f t="shared" si="3"/>
        <v>5.04</v>
      </c>
      <c r="L170">
        <v>6.8999999999999997E-4</v>
      </c>
      <c r="M170">
        <v>0.69</v>
      </c>
      <c r="N170">
        <v>7788.2655175199598</v>
      </c>
      <c r="O170" s="2">
        <f t="shared" si="4"/>
        <v>1.0662506363271369</v>
      </c>
      <c r="P170">
        <v>5.3739032070887696</v>
      </c>
      <c r="Q170">
        <v>7.7882655175199602</v>
      </c>
    </row>
    <row r="171" spans="1:17" x14ac:dyDescent="0.25">
      <c r="A171">
        <v>2</v>
      </c>
      <c r="B171" t="s">
        <v>180</v>
      </c>
      <c r="C171">
        <v>3.3333334169889799</v>
      </c>
      <c r="D171">
        <v>0.61666667461395297</v>
      </c>
      <c r="E171" t="s">
        <v>152</v>
      </c>
      <c r="F171" t="s">
        <v>14</v>
      </c>
      <c r="G171">
        <v>3</v>
      </c>
      <c r="H171" t="str">
        <f t="shared" si="2"/>
        <v>Isolate_1-40_3</v>
      </c>
      <c r="I171">
        <v>2</v>
      </c>
      <c r="J171" s="1">
        <v>7.3699999999999903E-3</v>
      </c>
      <c r="K171" s="1">
        <f t="shared" si="3"/>
        <v>7.3699999999999903</v>
      </c>
      <c r="L171">
        <v>1.4300000000000001E-3</v>
      </c>
      <c r="M171">
        <v>1.43</v>
      </c>
      <c r="N171">
        <v>7284.3824671961902</v>
      </c>
      <c r="O171" s="2">
        <f t="shared" si="4"/>
        <v>1.4133876428888077</v>
      </c>
      <c r="P171">
        <v>10.4166669280905</v>
      </c>
      <c r="Q171">
        <v>7.2843824671961901</v>
      </c>
    </row>
    <row r="172" spans="1:17" x14ac:dyDescent="0.25">
      <c r="A172">
        <v>2</v>
      </c>
      <c r="B172" t="s">
        <v>181</v>
      </c>
      <c r="C172">
        <v>0.61157891624852201</v>
      </c>
      <c r="D172">
        <v>0.35809999704361001</v>
      </c>
      <c r="E172" t="s">
        <v>152</v>
      </c>
      <c r="F172" t="s">
        <v>23</v>
      </c>
      <c r="G172">
        <v>1</v>
      </c>
      <c r="H172" t="str">
        <f t="shared" si="2"/>
        <v>NI_1</v>
      </c>
      <c r="I172">
        <v>1</v>
      </c>
      <c r="J172" s="1">
        <v>3.14E-3</v>
      </c>
      <c r="K172" s="1">
        <f t="shared" si="3"/>
        <v>3.14</v>
      </c>
      <c r="L172">
        <v>1.2600000000000001E-3</v>
      </c>
      <c r="M172">
        <v>1.26</v>
      </c>
      <c r="N172">
        <v>1516.8127883147899</v>
      </c>
      <c r="O172" s="2">
        <f t="shared" si="4"/>
        <v>0.60865736091612421</v>
      </c>
      <c r="P172">
        <v>1.9111841132766301</v>
      </c>
      <c r="Q172">
        <v>1.5168127883147899</v>
      </c>
    </row>
    <row r="173" spans="1:17" x14ac:dyDescent="0.25">
      <c r="A173">
        <v>2</v>
      </c>
      <c r="B173" t="s">
        <v>182</v>
      </c>
      <c r="C173">
        <v>2.7722807516131498</v>
      </c>
      <c r="D173">
        <v>0.56336667140324903</v>
      </c>
      <c r="E173" t="s">
        <v>152</v>
      </c>
      <c r="F173" t="s">
        <v>23</v>
      </c>
      <c r="G173">
        <v>1</v>
      </c>
      <c r="H173" t="str">
        <f t="shared" si="2"/>
        <v>NI_1</v>
      </c>
      <c r="I173">
        <v>3</v>
      </c>
      <c r="J173" s="1">
        <v>6.4200000000000004E-3</v>
      </c>
      <c r="K173" s="1">
        <f t="shared" si="3"/>
        <v>6.42</v>
      </c>
      <c r="L173">
        <v>2.0500000000000002E-3</v>
      </c>
      <c r="M173">
        <v>2.0499999999999998</v>
      </c>
      <c r="N173">
        <v>4226.0377311175998</v>
      </c>
      <c r="O173" s="2">
        <f t="shared" si="4"/>
        <v>1.3494357241107617</v>
      </c>
      <c r="P173">
        <v>8.6633773487910908</v>
      </c>
      <c r="Q173">
        <v>4.2260377311176001</v>
      </c>
    </row>
    <row r="174" spans="1:17" x14ac:dyDescent="0.25">
      <c r="A174">
        <v>2</v>
      </c>
      <c r="B174" t="s">
        <v>183</v>
      </c>
      <c r="C174">
        <v>2.7126315602085</v>
      </c>
      <c r="D174">
        <v>0.55769999821980798</v>
      </c>
      <c r="E174" t="s">
        <v>152</v>
      </c>
      <c r="F174" t="s">
        <v>23</v>
      </c>
      <c r="G174">
        <v>2</v>
      </c>
      <c r="H174" t="str">
        <f t="shared" si="2"/>
        <v>NI_2</v>
      </c>
      <c r="I174">
        <v>1</v>
      </c>
      <c r="J174" s="1">
        <v>9.2499999999999891E-3</v>
      </c>
      <c r="K174" s="1">
        <f t="shared" si="3"/>
        <v>9.2499999999999893</v>
      </c>
      <c r="L174">
        <v>2.7100000000000002E-3</v>
      </c>
      <c r="M174">
        <v>2.71</v>
      </c>
      <c r="N174">
        <v>3128.0345482109101</v>
      </c>
      <c r="O174" s="2">
        <f t="shared" si="4"/>
        <v>0.91642958115152318</v>
      </c>
      <c r="P174">
        <v>8.4769736256515795</v>
      </c>
      <c r="Q174">
        <v>3.12803454821091</v>
      </c>
    </row>
    <row r="175" spans="1:17" x14ac:dyDescent="0.25">
      <c r="A175">
        <v>2</v>
      </c>
      <c r="B175" t="s">
        <v>184</v>
      </c>
      <c r="C175">
        <v>1.8350876423350599</v>
      </c>
      <c r="D175">
        <v>0.47433332602182998</v>
      </c>
      <c r="E175" t="s">
        <v>152</v>
      </c>
      <c r="F175" t="s">
        <v>23</v>
      </c>
      <c r="G175">
        <v>2</v>
      </c>
      <c r="H175" t="str">
        <f t="shared" si="2"/>
        <v>NI_2</v>
      </c>
      <c r="I175">
        <v>2</v>
      </c>
      <c r="J175" s="1">
        <v>5.1399999999999901E-3</v>
      </c>
      <c r="K175" s="1">
        <f t="shared" si="3"/>
        <v>5.1399999999999899</v>
      </c>
      <c r="L175">
        <v>1.65E-3</v>
      </c>
      <c r="M175">
        <v>1.65</v>
      </c>
      <c r="N175">
        <v>3475.5447771497302</v>
      </c>
      <c r="O175" s="2">
        <f t="shared" si="4"/>
        <v>1.1156904440266655</v>
      </c>
      <c r="P175">
        <v>5.7346488822970496</v>
      </c>
      <c r="Q175">
        <v>3.4755447771497301</v>
      </c>
    </row>
    <row r="176" spans="1:17" x14ac:dyDescent="0.25">
      <c r="A176">
        <v>2</v>
      </c>
      <c r="B176" t="s">
        <v>185</v>
      </c>
      <c r="C176">
        <v>1.07368421136287</v>
      </c>
      <c r="D176">
        <v>0.40200000007947301</v>
      </c>
      <c r="E176" t="s">
        <v>152</v>
      </c>
      <c r="F176" t="s">
        <v>23</v>
      </c>
      <c r="G176">
        <v>3</v>
      </c>
      <c r="H176" t="str">
        <f t="shared" si="2"/>
        <v>NI_3</v>
      </c>
      <c r="I176">
        <v>1</v>
      </c>
      <c r="J176" s="1">
        <v>2.94999999999999E-3</v>
      </c>
      <c r="K176" s="1">
        <f t="shared" si="3"/>
        <v>2.94999999999999</v>
      </c>
      <c r="L176">
        <v>6.6E-4</v>
      </c>
      <c r="M176">
        <v>0.66</v>
      </c>
      <c r="N176">
        <v>5083.7320613772399</v>
      </c>
      <c r="O176" s="2">
        <f t="shared" si="4"/>
        <v>1.137377342545421</v>
      </c>
      <c r="P176">
        <v>3.3552631605089802</v>
      </c>
      <c r="Q176">
        <v>5.0837320613772397</v>
      </c>
    </row>
    <row r="177" spans="1:17" x14ac:dyDescent="0.25">
      <c r="A177">
        <v>2</v>
      </c>
      <c r="B177" t="s">
        <v>186</v>
      </c>
      <c r="C177">
        <v>2.1892592023920101</v>
      </c>
      <c r="D177">
        <v>0.50703332821528102</v>
      </c>
      <c r="E177" t="s">
        <v>152</v>
      </c>
      <c r="F177" t="s">
        <v>6</v>
      </c>
      <c r="G177">
        <v>3</v>
      </c>
      <c r="H177" t="str">
        <f t="shared" si="2"/>
        <v>Isolate_1-39_3</v>
      </c>
      <c r="I177">
        <v>2</v>
      </c>
      <c r="J177" s="1">
        <v>5.0200000000000002E-3</v>
      </c>
      <c r="K177" s="1">
        <f t="shared" si="3"/>
        <v>5.0200000000000005</v>
      </c>
      <c r="L177">
        <v>1.65E-3</v>
      </c>
      <c r="M177">
        <v>1.65</v>
      </c>
      <c r="N177">
        <v>4146.3242469545703</v>
      </c>
      <c r="O177" s="2">
        <f t="shared" si="4"/>
        <v>1.3628356588595696</v>
      </c>
      <c r="P177">
        <v>6.8414350074750399</v>
      </c>
      <c r="Q177">
        <v>4.1463242469545696</v>
      </c>
    </row>
    <row r="178" spans="1:17" x14ac:dyDescent="0.25">
      <c r="A178">
        <v>2</v>
      </c>
      <c r="B178" t="s">
        <v>187</v>
      </c>
      <c r="C178">
        <v>1.16666657394833</v>
      </c>
      <c r="D178">
        <v>0.41499999165535001</v>
      </c>
      <c r="E178" t="s">
        <v>152</v>
      </c>
      <c r="F178" t="s">
        <v>6</v>
      </c>
      <c r="G178">
        <v>3</v>
      </c>
      <c r="H178" t="str">
        <f t="shared" si="2"/>
        <v>Isolate_1-39_3</v>
      </c>
      <c r="I178">
        <v>3</v>
      </c>
      <c r="J178" s="1">
        <v>3.79E-3</v>
      </c>
      <c r="K178" s="1">
        <f t="shared" si="3"/>
        <v>3.79</v>
      </c>
      <c r="L178">
        <v>1.2700000000000001E-3</v>
      </c>
      <c r="M178">
        <v>1.27</v>
      </c>
      <c r="N178">
        <v>2870.7346799909701</v>
      </c>
      <c r="O178" s="2">
        <f t="shared" si="4"/>
        <v>0.96196122522124805</v>
      </c>
      <c r="P178">
        <v>3.6458330435885302</v>
      </c>
      <c r="Q178">
        <v>2.8707346799909699</v>
      </c>
    </row>
    <row r="179" spans="1:17" x14ac:dyDescent="0.25">
      <c r="A179">
        <v>2</v>
      </c>
      <c r="B179" t="s">
        <v>188</v>
      </c>
      <c r="C179">
        <v>0.82444440876996095</v>
      </c>
      <c r="D179">
        <v>0.38419999678929601</v>
      </c>
      <c r="E179" t="s">
        <v>152</v>
      </c>
      <c r="F179" t="s">
        <v>6</v>
      </c>
      <c r="G179">
        <v>4</v>
      </c>
      <c r="H179" t="str">
        <f t="shared" si="2"/>
        <v>Isolate_1-39_4</v>
      </c>
      <c r="I179">
        <v>1</v>
      </c>
      <c r="J179" s="1">
        <v>4.0400000000000002E-3</v>
      </c>
      <c r="K179" s="1">
        <f t="shared" si="3"/>
        <v>4.04</v>
      </c>
      <c r="L179">
        <v>1.5200000000000001E-3</v>
      </c>
      <c r="M179">
        <v>1.52</v>
      </c>
      <c r="N179">
        <v>1694.99261671456</v>
      </c>
      <c r="O179" s="2">
        <f t="shared" si="4"/>
        <v>0.63771999440745786</v>
      </c>
      <c r="P179">
        <v>2.5763887774061298</v>
      </c>
      <c r="Q179">
        <v>1.6949926167145599</v>
      </c>
    </row>
    <row r="180" spans="1:17" x14ac:dyDescent="0.25">
      <c r="A180">
        <v>2</v>
      </c>
      <c r="B180" t="s">
        <v>189</v>
      </c>
      <c r="C180">
        <v>5.0255554958626103</v>
      </c>
      <c r="D180">
        <v>0.76229999462763498</v>
      </c>
      <c r="E180" t="s">
        <v>152</v>
      </c>
      <c r="F180" t="s">
        <v>6</v>
      </c>
      <c r="G180">
        <v>4</v>
      </c>
      <c r="H180" t="str">
        <f t="shared" si="2"/>
        <v>Isolate_1-39_4</v>
      </c>
      <c r="I180">
        <v>2</v>
      </c>
      <c r="J180" s="1">
        <v>5.8300000000000001E-3</v>
      </c>
      <c r="K180" s="1">
        <f t="shared" si="3"/>
        <v>5.83</v>
      </c>
      <c r="L180">
        <v>2.3700000000000001E-3</v>
      </c>
      <c r="M180">
        <v>2.37</v>
      </c>
      <c r="N180">
        <v>6626.5235968652496</v>
      </c>
      <c r="O180" s="2">
        <f t="shared" si="4"/>
        <v>2.6938011877479586</v>
      </c>
      <c r="P180">
        <v>15.7048609245706</v>
      </c>
      <c r="Q180">
        <v>6.6265235968652503</v>
      </c>
    </row>
    <row r="181" spans="1:17" x14ac:dyDescent="0.25">
      <c r="A181">
        <v>2</v>
      </c>
      <c r="B181" t="s">
        <v>190</v>
      </c>
      <c r="C181">
        <v>3.7444443879304101</v>
      </c>
      <c r="D181">
        <v>0.64699999491373705</v>
      </c>
      <c r="E181" t="s">
        <v>152</v>
      </c>
      <c r="F181" t="s">
        <v>6</v>
      </c>
      <c r="G181">
        <v>4</v>
      </c>
      <c r="H181" t="str">
        <f t="shared" si="2"/>
        <v>Isolate_1-39_4</v>
      </c>
      <c r="I181">
        <v>3</v>
      </c>
      <c r="J181" s="1">
        <v>7.2700000000000004E-3</v>
      </c>
      <c r="K181" s="1">
        <f t="shared" si="3"/>
        <v>7.2700000000000005</v>
      </c>
      <c r="L181">
        <v>3.0500000000000002E-3</v>
      </c>
      <c r="M181">
        <v>3.05</v>
      </c>
      <c r="N181">
        <v>3836.5208892729602</v>
      </c>
      <c r="O181" s="2">
        <f t="shared" si="4"/>
        <v>1.6095445271365199</v>
      </c>
      <c r="P181">
        <v>11.701388712282499</v>
      </c>
      <c r="Q181">
        <v>3.8365208892729599</v>
      </c>
    </row>
    <row r="182" spans="1:17" x14ac:dyDescent="0.25">
      <c r="A182">
        <v>2</v>
      </c>
      <c r="B182" t="s">
        <v>191</v>
      </c>
      <c r="C182">
        <v>0.54814807132438403</v>
      </c>
      <c r="D182">
        <v>0.35933332641919502</v>
      </c>
      <c r="E182" t="s">
        <v>152</v>
      </c>
      <c r="F182" t="s">
        <v>6</v>
      </c>
      <c r="G182">
        <v>5</v>
      </c>
      <c r="H182" t="str">
        <f t="shared" si="2"/>
        <v>Isolate_1-39_5</v>
      </c>
      <c r="I182">
        <v>1</v>
      </c>
      <c r="J182" s="1">
        <v>3.0100000000000001E-3</v>
      </c>
      <c r="K182" s="1">
        <f t="shared" si="3"/>
        <v>3.0100000000000002</v>
      </c>
      <c r="L182">
        <v>1E-3</v>
      </c>
      <c r="M182">
        <v>1</v>
      </c>
      <c r="N182">
        <v>1712.9627228887</v>
      </c>
      <c r="O182" s="2">
        <f t="shared" si="4"/>
        <v>0.56909060561086378</v>
      </c>
      <c r="P182">
        <v>1.7129627228887001</v>
      </c>
      <c r="Q182">
        <v>1.7129627228887001</v>
      </c>
    </row>
    <row r="183" spans="1:17" x14ac:dyDescent="0.25">
      <c r="A183">
        <v>2</v>
      </c>
      <c r="B183" t="s">
        <v>192</v>
      </c>
      <c r="C183">
        <v>3.4907407495710601</v>
      </c>
      <c r="D183">
        <v>0.62416666746139504</v>
      </c>
      <c r="E183" t="s">
        <v>152</v>
      </c>
      <c r="F183" t="s">
        <v>6</v>
      </c>
      <c r="G183">
        <v>5</v>
      </c>
      <c r="H183" t="str">
        <f t="shared" si="2"/>
        <v>Isolate_1-39_5</v>
      </c>
      <c r="I183">
        <v>2</v>
      </c>
      <c r="J183" s="1">
        <v>4.5799999999999903E-3</v>
      </c>
      <c r="K183" s="1">
        <f t="shared" si="3"/>
        <v>4.5799999999999903</v>
      </c>
      <c r="L183">
        <v>1.9599999999999999E-3</v>
      </c>
      <c r="M183">
        <v>1.96</v>
      </c>
      <c r="N183">
        <v>5565.5943073518201</v>
      </c>
      <c r="O183" s="2">
        <f t="shared" si="4"/>
        <v>2.3817827166833236</v>
      </c>
      <c r="P183">
        <v>10.9085648424096</v>
      </c>
      <c r="Q183">
        <v>5.5655943073518204</v>
      </c>
    </row>
    <row r="184" spans="1:17" x14ac:dyDescent="0.25">
      <c r="A184">
        <v>2</v>
      </c>
      <c r="B184" t="s">
        <v>193</v>
      </c>
      <c r="C184">
        <v>4.3772224187850997</v>
      </c>
      <c r="D184">
        <v>0.70395001769065901</v>
      </c>
      <c r="E184" t="s">
        <v>152</v>
      </c>
      <c r="F184" t="s">
        <v>6</v>
      </c>
      <c r="G184">
        <v>5</v>
      </c>
      <c r="H184" t="str">
        <f t="shared" si="2"/>
        <v>Isolate_1-39_5</v>
      </c>
      <c r="I184">
        <v>3</v>
      </c>
      <c r="J184" s="1">
        <v>1.163E-2</v>
      </c>
      <c r="K184" s="1">
        <f t="shared" si="3"/>
        <v>11.629999999999999</v>
      </c>
      <c r="L184">
        <v>4.8799999999999998E-3</v>
      </c>
      <c r="M184">
        <v>4.88</v>
      </c>
      <c r="N184">
        <v>2803.0368972752899</v>
      </c>
      <c r="O184" s="2">
        <f t="shared" si="4"/>
        <v>1.1761668150217885</v>
      </c>
      <c r="P184">
        <v>13.678820058703399</v>
      </c>
      <c r="Q184">
        <v>2.8030368972752902</v>
      </c>
    </row>
    <row r="185" spans="1:17" x14ac:dyDescent="0.25">
      <c r="A185">
        <v>2</v>
      </c>
      <c r="B185" t="s">
        <v>194</v>
      </c>
      <c r="C185">
        <v>2.2122222229286499</v>
      </c>
      <c r="D185">
        <v>0.50910000006357803</v>
      </c>
      <c r="E185" t="s">
        <v>152</v>
      </c>
      <c r="F185" t="s">
        <v>14</v>
      </c>
      <c r="G185">
        <v>3</v>
      </c>
      <c r="H185" t="str">
        <f t="shared" si="2"/>
        <v>Isolate_1-40_3</v>
      </c>
      <c r="I185">
        <v>3</v>
      </c>
      <c r="J185" s="1">
        <v>5.3600000000000002E-3</v>
      </c>
      <c r="K185" s="1">
        <f t="shared" si="3"/>
        <v>5.36</v>
      </c>
      <c r="L185">
        <v>1.89E-3</v>
      </c>
      <c r="M185">
        <v>1.89</v>
      </c>
      <c r="N185">
        <v>3657.7748394984301</v>
      </c>
      <c r="O185" s="2">
        <f t="shared" si="4"/>
        <v>1.2897750833306008</v>
      </c>
      <c r="P185">
        <v>6.9131944466520201</v>
      </c>
      <c r="Q185">
        <v>3.6577748394984302</v>
      </c>
    </row>
    <row r="186" spans="1:17" x14ac:dyDescent="0.25">
      <c r="A186">
        <v>2</v>
      </c>
      <c r="B186" t="s">
        <v>195</v>
      </c>
      <c r="C186">
        <v>2.2422221236758801</v>
      </c>
      <c r="D186">
        <v>0.51179999113082897</v>
      </c>
      <c r="E186" t="s">
        <v>152</v>
      </c>
      <c r="F186" t="s">
        <v>14</v>
      </c>
      <c r="G186">
        <v>4</v>
      </c>
      <c r="H186" t="str">
        <f t="shared" si="2"/>
        <v>Isolate_1-40_4</v>
      </c>
      <c r="I186">
        <v>1</v>
      </c>
      <c r="J186" s="1">
        <v>7.26E-3</v>
      </c>
      <c r="K186" s="1">
        <f t="shared" si="3"/>
        <v>7.26</v>
      </c>
      <c r="L186">
        <v>2.65E-3</v>
      </c>
      <c r="M186">
        <v>2.65</v>
      </c>
      <c r="N186">
        <v>2644.1298628253298</v>
      </c>
      <c r="O186" s="2">
        <f t="shared" si="4"/>
        <v>0.96514382045277003</v>
      </c>
      <c r="P186">
        <v>7.0069441364871103</v>
      </c>
      <c r="Q186">
        <v>2.6441298628253298</v>
      </c>
    </row>
    <row r="187" spans="1:17" x14ac:dyDescent="0.25">
      <c r="A187">
        <v>2</v>
      </c>
      <c r="B187" t="s">
        <v>196</v>
      </c>
      <c r="C187">
        <v>1.1440740956200499</v>
      </c>
      <c r="D187">
        <v>0.412966668605804</v>
      </c>
      <c r="E187" t="s">
        <v>152</v>
      </c>
      <c r="F187" t="s">
        <v>14</v>
      </c>
      <c r="G187">
        <v>4</v>
      </c>
      <c r="H187" t="str">
        <f t="shared" si="2"/>
        <v>Isolate_1-40_4</v>
      </c>
      <c r="I187">
        <v>2</v>
      </c>
      <c r="J187" s="1">
        <v>2.6800000000000001E-3</v>
      </c>
      <c r="K187" s="1">
        <f t="shared" si="3"/>
        <v>2.68</v>
      </c>
      <c r="L187">
        <v>9.1E-4</v>
      </c>
      <c r="M187">
        <v>0.91</v>
      </c>
      <c r="N187">
        <v>3928.8258778160998</v>
      </c>
      <c r="O187" s="2">
        <f t="shared" si="4"/>
        <v>1.3340416226912872</v>
      </c>
      <c r="P187">
        <v>3.57523154881265</v>
      </c>
      <c r="Q187">
        <v>3.9288258778161</v>
      </c>
    </row>
    <row r="188" spans="1:17" x14ac:dyDescent="0.25">
      <c r="A188">
        <v>2</v>
      </c>
      <c r="B188" t="s">
        <v>197</v>
      </c>
      <c r="C188">
        <v>2.3577776485019299</v>
      </c>
      <c r="D188">
        <v>0.52219998836517301</v>
      </c>
      <c r="E188" t="s">
        <v>152</v>
      </c>
      <c r="F188" t="s">
        <v>14</v>
      </c>
      <c r="G188">
        <v>4</v>
      </c>
      <c r="H188" t="str">
        <f t="shared" si="2"/>
        <v>Isolate_1-40_4</v>
      </c>
      <c r="I188">
        <v>3</v>
      </c>
      <c r="J188" s="1">
        <v>8.5699999999999908E-3</v>
      </c>
      <c r="K188" s="1">
        <f t="shared" si="3"/>
        <v>8.5699999999999914</v>
      </c>
      <c r="L188">
        <v>3.3500000000000001E-3</v>
      </c>
      <c r="M188">
        <v>3.35</v>
      </c>
      <c r="N188">
        <v>2199.4194482294101</v>
      </c>
      <c r="O188" s="2">
        <f t="shared" si="4"/>
        <v>0.85974972597065669</v>
      </c>
      <c r="P188">
        <v>7.3680551515685204</v>
      </c>
      <c r="Q188">
        <v>2.1994194482294098</v>
      </c>
    </row>
    <row r="189" spans="1:17" x14ac:dyDescent="0.25">
      <c r="A189">
        <v>2</v>
      </c>
      <c r="B189" t="s">
        <v>198</v>
      </c>
      <c r="C189">
        <v>2.4551851042994701</v>
      </c>
      <c r="D189">
        <v>0.53096665938695298</v>
      </c>
      <c r="E189" t="s">
        <v>152</v>
      </c>
      <c r="F189" t="s">
        <v>14</v>
      </c>
      <c r="G189">
        <v>5</v>
      </c>
      <c r="H189" t="str">
        <f t="shared" si="2"/>
        <v>Isolate_1-40_5</v>
      </c>
      <c r="I189">
        <v>1</v>
      </c>
      <c r="J189" s="1">
        <v>4.28E-3</v>
      </c>
      <c r="K189" s="1">
        <f t="shared" si="3"/>
        <v>4.28</v>
      </c>
      <c r="L189">
        <v>1.74E-3</v>
      </c>
      <c r="M189">
        <v>1.74</v>
      </c>
      <c r="N189">
        <v>4409.4560062849796</v>
      </c>
      <c r="O189" s="2">
        <f t="shared" si="4"/>
        <v>1.7926293109663223</v>
      </c>
      <c r="P189">
        <v>7.6724534509358602</v>
      </c>
      <c r="Q189">
        <v>4.4094560062849801</v>
      </c>
    </row>
    <row r="190" spans="1:17" x14ac:dyDescent="0.25">
      <c r="A190">
        <v>2</v>
      </c>
      <c r="B190" t="s">
        <v>199</v>
      </c>
      <c r="C190">
        <v>2.1450001597404502</v>
      </c>
      <c r="D190">
        <v>0.50305001437663999</v>
      </c>
      <c r="E190" t="s">
        <v>152</v>
      </c>
      <c r="F190" t="s">
        <v>14</v>
      </c>
      <c r="G190">
        <v>5</v>
      </c>
      <c r="H190" t="str">
        <f t="shared" si="2"/>
        <v>Isolate_1-40_5</v>
      </c>
      <c r="I190">
        <v>2</v>
      </c>
      <c r="J190" s="1">
        <v>7.3499999999999902E-3</v>
      </c>
      <c r="K190" s="1">
        <f t="shared" si="3"/>
        <v>7.3499999999999899</v>
      </c>
      <c r="L190">
        <v>2.2699999999999999E-3</v>
      </c>
      <c r="M190">
        <v>2.27</v>
      </c>
      <c r="N190">
        <v>2952.9187221096499</v>
      </c>
      <c r="O190" s="2">
        <f t="shared" si="4"/>
        <v>0.91198986383522573</v>
      </c>
      <c r="P190">
        <v>6.7031254991889</v>
      </c>
      <c r="Q190">
        <v>2.9529187221096498</v>
      </c>
    </row>
    <row r="191" spans="1:17" x14ac:dyDescent="0.25">
      <c r="A191">
        <v>2</v>
      </c>
      <c r="B191" t="s">
        <v>200</v>
      </c>
      <c r="C191">
        <v>5.4744442568884999</v>
      </c>
      <c r="D191">
        <v>0.80269998311996504</v>
      </c>
      <c r="E191" t="s">
        <v>152</v>
      </c>
      <c r="F191" t="s">
        <v>23</v>
      </c>
      <c r="G191">
        <v>3</v>
      </c>
      <c r="H191" t="str">
        <f t="shared" si="2"/>
        <v>NI_3</v>
      </c>
      <c r="I191">
        <v>2</v>
      </c>
      <c r="J191" s="1">
        <v>1.231E-2</v>
      </c>
      <c r="K191" s="1">
        <f t="shared" si="3"/>
        <v>12.31</v>
      </c>
      <c r="L191">
        <v>3.0599999999999998E-3</v>
      </c>
      <c r="M191">
        <v>3.06</v>
      </c>
      <c r="N191">
        <v>5590.7314714956001</v>
      </c>
      <c r="O191" s="2">
        <f t="shared" si="4"/>
        <v>1.3897350367812022</v>
      </c>
      <c r="P191">
        <v>17.1076383027766</v>
      </c>
      <c r="Q191">
        <v>5.5907314714955998</v>
      </c>
    </row>
    <row r="192" spans="1:17" x14ac:dyDescent="0.25">
      <c r="A192">
        <v>2</v>
      </c>
      <c r="B192" t="s">
        <v>201</v>
      </c>
      <c r="C192">
        <v>4.1733335830547196</v>
      </c>
      <c r="D192">
        <v>0.68560002247492502</v>
      </c>
      <c r="E192" t="s">
        <v>152</v>
      </c>
      <c r="F192" t="s">
        <v>23</v>
      </c>
      <c r="G192">
        <v>3</v>
      </c>
      <c r="H192" t="str">
        <f t="shared" si="2"/>
        <v>NI_3</v>
      </c>
      <c r="I192">
        <v>3</v>
      </c>
      <c r="J192" s="1">
        <v>1.1390000000000001E-2</v>
      </c>
      <c r="K192" s="1">
        <f t="shared" si="3"/>
        <v>11.39</v>
      </c>
      <c r="L192">
        <v>2.8500000000000001E-3</v>
      </c>
      <c r="M192">
        <v>2.85</v>
      </c>
      <c r="N192">
        <v>4576.0236656301704</v>
      </c>
      <c r="O192" s="2">
        <f t="shared" si="4"/>
        <v>1.1450103114175592</v>
      </c>
      <c r="P192">
        <v>13.041667447046001</v>
      </c>
      <c r="Q192">
        <v>4.5760236656301796</v>
      </c>
    </row>
    <row r="193" spans="1:17" x14ac:dyDescent="0.25">
      <c r="A193">
        <v>2</v>
      </c>
      <c r="B193" t="s">
        <v>202</v>
      </c>
      <c r="C193">
        <v>2.0281480683220798</v>
      </c>
      <c r="D193">
        <v>0.49253332614898698</v>
      </c>
      <c r="E193" t="s">
        <v>152</v>
      </c>
      <c r="F193" t="s">
        <v>23</v>
      </c>
      <c r="G193">
        <v>4</v>
      </c>
      <c r="H193" t="str">
        <f t="shared" si="2"/>
        <v>NI_4</v>
      </c>
      <c r="I193">
        <v>1</v>
      </c>
      <c r="J193" s="1">
        <v>5.9899999999999901E-3</v>
      </c>
      <c r="K193" s="1">
        <f t="shared" si="3"/>
        <v>5.9899999999999904</v>
      </c>
      <c r="L193">
        <v>8.1999999999999998E-4</v>
      </c>
      <c r="M193">
        <v>0.82</v>
      </c>
      <c r="N193">
        <v>7729.22282134937</v>
      </c>
      <c r="O193" s="2">
        <f t="shared" si="4"/>
        <v>1.0580906032565109</v>
      </c>
      <c r="P193">
        <v>6.3379627135064904</v>
      </c>
      <c r="Q193">
        <v>7.7292228213493699</v>
      </c>
    </row>
    <row r="194" spans="1:17" x14ac:dyDescent="0.25">
      <c r="A194">
        <v>2</v>
      </c>
      <c r="B194" t="s">
        <v>203</v>
      </c>
      <c r="C194">
        <v>1.5855555446059599</v>
      </c>
      <c r="D194">
        <v>0.452699999014537</v>
      </c>
      <c r="E194" t="s">
        <v>152</v>
      </c>
      <c r="F194" t="s">
        <v>23</v>
      </c>
      <c r="G194">
        <v>5</v>
      </c>
      <c r="H194" t="str">
        <f t="shared" ref="H194:H231" si="5">CONCATENATE(F194,"_",G194)</f>
        <v>NI_5</v>
      </c>
      <c r="I194">
        <v>1</v>
      </c>
      <c r="J194" s="1">
        <v>4.9800000000000001E-3</v>
      </c>
      <c r="K194" s="1">
        <f t="shared" si="3"/>
        <v>4.9800000000000004</v>
      </c>
      <c r="L194">
        <v>4.6999999999999999E-4</v>
      </c>
      <c r="M194">
        <v>0.47</v>
      </c>
      <c r="N194">
        <v>10542.257610412</v>
      </c>
      <c r="O194" s="2">
        <f t="shared" si="4"/>
        <v>0.99495202347261646</v>
      </c>
      <c r="P194">
        <v>4.9548610768936303</v>
      </c>
      <c r="Q194">
        <v>10.542257610411999</v>
      </c>
    </row>
    <row r="195" spans="1:17" x14ac:dyDescent="0.25">
      <c r="A195">
        <v>2</v>
      </c>
      <c r="B195" t="s">
        <v>204</v>
      </c>
      <c r="C195">
        <v>0.96740736343242495</v>
      </c>
      <c r="D195">
        <v>0.39706666270891799</v>
      </c>
      <c r="E195" t="s">
        <v>152</v>
      </c>
      <c r="F195" t="s">
        <v>23</v>
      </c>
      <c r="G195">
        <v>5</v>
      </c>
      <c r="H195" t="str">
        <f t="shared" si="5"/>
        <v>NI_5</v>
      </c>
      <c r="I195">
        <v>2</v>
      </c>
      <c r="J195" s="1">
        <v>2.7799999999999899E-3</v>
      </c>
      <c r="K195" s="1">
        <f t="shared" si="3"/>
        <v>2.77999999999999</v>
      </c>
      <c r="L195">
        <v>5.5999999999999995E-4</v>
      </c>
      <c r="M195">
        <v>0.56000000000000005</v>
      </c>
      <c r="N195">
        <v>5398.4785905827302</v>
      </c>
      <c r="O195" s="2">
        <f t="shared" si="4"/>
        <v>1.0874633132109139</v>
      </c>
      <c r="P195">
        <v>3.02314801072633</v>
      </c>
      <c r="Q195">
        <v>5.3984785905827302</v>
      </c>
    </row>
    <row r="196" spans="1:17" x14ac:dyDescent="0.25">
      <c r="A196">
        <v>2</v>
      </c>
      <c r="B196" t="s">
        <v>205</v>
      </c>
      <c r="C196">
        <v>1.9423810243606601</v>
      </c>
      <c r="D196">
        <v>0.46596667170524603</v>
      </c>
      <c r="E196" t="s">
        <v>152</v>
      </c>
      <c r="F196" t="s">
        <v>6</v>
      </c>
      <c r="G196">
        <v>6</v>
      </c>
      <c r="H196" t="str">
        <f t="shared" si="5"/>
        <v>Isolate_1-39_6</v>
      </c>
      <c r="I196">
        <v>1</v>
      </c>
      <c r="J196" s="1">
        <v>5.77E-3</v>
      </c>
      <c r="K196" s="1">
        <f t="shared" si="3"/>
        <v>5.77</v>
      </c>
      <c r="L196">
        <v>2.0600000000000002E-3</v>
      </c>
      <c r="M196">
        <v>2.06</v>
      </c>
      <c r="N196">
        <v>2946.5731558869202</v>
      </c>
      <c r="O196" s="2">
        <f t="shared" si="4"/>
        <v>1.0519827904899568</v>
      </c>
      <c r="P196">
        <v>6.0699407011270496</v>
      </c>
      <c r="Q196">
        <v>2.9465731558869201</v>
      </c>
    </row>
    <row r="197" spans="1:17" x14ac:dyDescent="0.25">
      <c r="A197">
        <v>2</v>
      </c>
      <c r="B197" t="s">
        <v>206</v>
      </c>
      <c r="C197">
        <v>5.6290473710922999</v>
      </c>
      <c r="D197">
        <v>0.72403331597646103</v>
      </c>
      <c r="E197" t="s">
        <v>152</v>
      </c>
      <c r="F197" t="s">
        <v>6</v>
      </c>
      <c r="G197">
        <v>6</v>
      </c>
      <c r="H197" t="str">
        <f t="shared" si="5"/>
        <v>Isolate_1-39_6</v>
      </c>
      <c r="I197">
        <v>2</v>
      </c>
      <c r="J197" s="1">
        <v>8.8199999999999893E-3</v>
      </c>
      <c r="K197" s="1">
        <f t="shared" si="3"/>
        <v>8.8199999999999896</v>
      </c>
      <c r="L197">
        <v>3.1800000000000001E-3</v>
      </c>
      <c r="M197">
        <v>3.18</v>
      </c>
      <c r="N197">
        <v>5531.6896335419597</v>
      </c>
      <c r="O197" s="2">
        <f t="shared" si="4"/>
        <v>1.9944187114130862</v>
      </c>
      <c r="P197">
        <v>17.5907730346634</v>
      </c>
      <c r="Q197">
        <v>5.5316896335419603</v>
      </c>
    </row>
    <row r="198" spans="1:17" x14ac:dyDescent="0.25">
      <c r="A198">
        <v>2</v>
      </c>
      <c r="B198" t="s">
        <v>207</v>
      </c>
      <c r="C198">
        <v>4.4833334173474997</v>
      </c>
      <c r="D198">
        <v>0.64383333921432495</v>
      </c>
      <c r="E198" t="s">
        <v>152</v>
      </c>
      <c r="F198" t="s">
        <v>6</v>
      </c>
      <c r="G198">
        <v>6</v>
      </c>
      <c r="H198" t="str">
        <f t="shared" si="5"/>
        <v>Isolate_1-39_6</v>
      </c>
      <c r="I198">
        <v>3</v>
      </c>
      <c r="J198" s="1">
        <v>1.191E-2</v>
      </c>
      <c r="K198" s="1">
        <f t="shared" si="3"/>
        <v>11.91</v>
      </c>
      <c r="L198">
        <v>4.9800000000000001E-3</v>
      </c>
      <c r="M198">
        <v>4.9800000000000004</v>
      </c>
      <c r="N198">
        <v>2813.3367327732799</v>
      </c>
      <c r="O198" s="2">
        <f t="shared" si="4"/>
        <v>1.1763574247868094</v>
      </c>
      <c r="P198">
        <v>14.0104169292109</v>
      </c>
      <c r="Q198">
        <v>2.8133367327732799</v>
      </c>
    </row>
    <row r="199" spans="1:17" x14ac:dyDescent="0.25">
      <c r="A199">
        <v>2</v>
      </c>
      <c r="B199" t="s">
        <v>208</v>
      </c>
      <c r="C199">
        <v>1.428571388835</v>
      </c>
      <c r="D199">
        <v>0.42999999721845</v>
      </c>
      <c r="E199" t="s">
        <v>152</v>
      </c>
      <c r="F199" t="s">
        <v>6</v>
      </c>
      <c r="G199">
        <v>7</v>
      </c>
      <c r="H199" t="str">
        <f t="shared" si="5"/>
        <v>Isolate_1-39_7</v>
      </c>
      <c r="I199">
        <v>1</v>
      </c>
      <c r="J199" s="1">
        <v>5.3499999999999902E-3</v>
      </c>
      <c r="K199" s="1">
        <f t="shared" si="3"/>
        <v>5.3499999999999899</v>
      </c>
      <c r="L199">
        <v>1.5499999999999999E-3</v>
      </c>
      <c r="M199">
        <v>1.55</v>
      </c>
      <c r="N199">
        <v>2880.1842516834599</v>
      </c>
      <c r="O199" s="2">
        <f t="shared" si="4"/>
        <v>0.83444590469334168</v>
      </c>
      <c r="P199">
        <v>4.4642855901093697</v>
      </c>
      <c r="Q199">
        <v>2.8801842516834602</v>
      </c>
    </row>
    <row r="200" spans="1:17" x14ac:dyDescent="0.25">
      <c r="A200">
        <v>2</v>
      </c>
      <c r="B200" t="s">
        <v>209</v>
      </c>
      <c r="C200">
        <v>2.9576191334497399</v>
      </c>
      <c r="D200">
        <v>0.53703333934148201</v>
      </c>
      <c r="E200" t="s">
        <v>152</v>
      </c>
      <c r="F200" t="s">
        <v>6</v>
      </c>
      <c r="G200">
        <v>8</v>
      </c>
      <c r="H200" t="str">
        <f t="shared" si="5"/>
        <v>Isolate_1-39_8</v>
      </c>
      <c r="I200">
        <v>1</v>
      </c>
      <c r="J200" s="1">
        <v>5.62E-3</v>
      </c>
      <c r="K200" s="1">
        <f t="shared" si="3"/>
        <v>5.62</v>
      </c>
      <c r="L200">
        <v>1.6900000000000001E-3</v>
      </c>
      <c r="M200">
        <v>1.69</v>
      </c>
      <c r="N200">
        <v>5468.9702911422601</v>
      </c>
      <c r="O200" s="2">
        <f t="shared" si="4"/>
        <v>1.6445835928879751</v>
      </c>
      <c r="P200">
        <v>9.2425597920304199</v>
      </c>
      <c r="Q200">
        <v>5.4689702911422602</v>
      </c>
    </row>
    <row r="201" spans="1:17" x14ac:dyDescent="0.25">
      <c r="A201">
        <v>2</v>
      </c>
      <c r="B201" t="s">
        <v>210</v>
      </c>
      <c r="C201">
        <v>1.70619038173131</v>
      </c>
      <c r="D201">
        <v>0.44943332672119102</v>
      </c>
      <c r="E201" t="s">
        <v>152</v>
      </c>
      <c r="F201" t="s">
        <v>14</v>
      </c>
      <c r="G201">
        <v>6</v>
      </c>
      <c r="H201" t="str">
        <f t="shared" si="5"/>
        <v>Isolate_1-40_6</v>
      </c>
      <c r="I201">
        <v>1</v>
      </c>
      <c r="J201" s="1">
        <v>3.98E-3</v>
      </c>
      <c r="K201" s="1">
        <f t="shared" si="3"/>
        <v>3.98</v>
      </c>
      <c r="L201">
        <v>2.1299999999999999E-3</v>
      </c>
      <c r="M201">
        <v>2.13</v>
      </c>
      <c r="N201">
        <v>2503.2135882208099</v>
      </c>
      <c r="O201" s="2">
        <f t="shared" si="4"/>
        <v>1.3396595333945551</v>
      </c>
      <c r="P201">
        <v>5.3318449429103296</v>
      </c>
      <c r="Q201">
        <v>2.50321358822081</v>
      </c>
    </row>
    <row r="202" spans="1:17" x14ac:dyDescent="0.25">
      <c r="A202">
        <v>2</v>
      </c>
      <c r="B202" t="s">
        <v>211</v>
      </c>
      <c r="C202">
        <v>4.9361904916309198</v>
      </c>
      <c r="D202">
        <v>0.67553333441416397</v>
      </c>
      <c r="E202" t="s">
        <v>152</v>
      </c>
      <c r="F202" t="s">
        <v>14</v>
      </c>
      <c r="G202">
        <v>6</v>
      </c>
      <c r="H202" t="str">
        <f t="shared" si="5"/>
        <v>Isolate_1-40_6</v>
      </c>
      <c r="I202">
        <v>2</v>
      </c>
      <c r="J202" s="1">
        <v>6.2599999999999904E-3</v>
      </c>
      <c r="K202" s="1">
        <f t="shared" si="3"/>
        <v>6.25999999999999</v>
      </c>
      <c r="L202">
        <v>2.0999999999999999E-3</v>
      </c>
      <c r="M202">
        <v>2.1</v>
      </c>
      <c r="N202">
        <v>7345.5215649269603</v>
      </c>
      <c r="O202" s="2">
        <f t="shared" si="4"/>
        <v>2.4641526016528155</v>
      </c>
      <c r="P202">
        <v>15.425595286346599</v>
      </c>
      <c r="Q202">
        <v>7.3455215649269601</v>
      </c>
    </row>
    <row r="203" spans="1:17" x14ac:dyDescent="0.25">
      <c r="A203">
        <v>2</v>
      </c>
      <c r="B203" t="s">
        <v>212</v>
      </c>
      <c r="C203">
        <v>4.9300001235235298</v>
      </c>
      <c r="D203">
        <v>0.67510000864664699</v>
      </c>
      <c r="E203" t="s">
        <v>152</v>
      </c>
      <c r="F203" t="s">
        <v>14</v>
      </c>
      <c r="G203">
        <v>6</v>
      </c>
      <c r="H203" t="str">
        <f t="shared" si="5"/>
        <v>Isolate_1-40_6</v>
      </c>
      <c r="I203">
        <v>3</v>
      </c>
      <c r="J203" s="1">
        <v>7.5900000000000004E-3</v>
      </c>
      <c r="K203" s="1">
        <f t="shared" si="3"/>
        <v>7.5900000000000007</v>
      </c>
      <c r="L203">
        <v>3.3600000000000001E-3</v>
      </c>
      <c r="M203">
        <v>3.36</v>
      </c>
      <c r="N203">
        <v>4585.1935672651898</v>
      </c>
      <c r="O203" s="2">
        <f t="shared" si="4"/>
        <v>2.029809010014624</v>
      </c>
      <c r="P203">
        <v>15.406250386010999</v>
      </c>
      <c r="Q203">
        <v>4.5851935672651898</v>
      </c>
    </row>
    <row r="204" spans="1:17" x14ac:dyDescent="0.25">
      <c r="A204">
        <v>2</v>
      </c>
      <c r="B204" t="s">
        <v>213</v>
      </c>
      <c r="C204">
        <v>3.7195240202404198</v>
      </c>
      <c r="D204">
        <v>0.59036668141682902</v>
      </c>
      <c r="E204" t="s">
        <v>152</v>
      </c>
      <c r="F204" t="s">
        <v>14</v>
      </c>
      <c r="G204">
        <v>7</v>
      </c>
      <c r="H204" t="str">
        <f t="shared" si="5"/>
        <v>Isolate_1-40_7</v>
      </c>
      <c r="I204">
        <v>1</v>
      </c>
      <c r="J204" s="1">
        <v>5.8199999999999901E-3</v>
      </c>
      <c r="K204" s="1">
        <f t="shared" si="3"/>
        <v>5.8199999999999905</v>
      </c>
      <c r="L204">
        <v>1.66E-3</v>
      </c>
      <c r="M204">
        <v>1.66</v>
      </c>
      <c r="N204">
        <v>7002.1160019586196</v>
      </c>
      <c r="O204" s="2">
        <f t="shared" si="4"/>
        <v>1.9971671070878554</v>
      </c>
      <c r="P204">
        <v>11.6235125632513</v>
      </c>
      <c r="Q204">
        <v>7.0021160019586199</v>
      </c>
    </row>
    <row r="205" spans="1:17" x14ac:dyDescent="0.25">
      <c r="A205">
        <v>2</v>
      </c>
      <c r="B205" t="s">
        <v>214</v>
      </c>
      <c r="C205">
        <v>4.6057145254952596</v>
      </c>
      <c r="D205">
        <v>0.65240001678466797</v>
      </c>
      <c r="E205" t="s">
        <v>152</v>
      </c>
      <c r="F205" t="s">
        <v>14</v>
      </c>
      <c r="G205">
        <v>7</v>
      </c>
      <c r="H205" t="str">
        <f t="shared" si="5"/>
        <v>Isolate_1-40_7</v>
      </c>
      <c r="I205">
        <v>2</v>
      </c>
      <c r="J205" s="1">
        <v>8.94E-3</v>
      </c>
      <c r="K205" s="1">
        <f t="shared" si="3"/>
        <v>8.94</v>
      </c>
      <c r="L205">
        <v>2.4099999999999998E-3</v>
      </c>
      <c r="M205">
        <v>2.41</v>
      </c>
      <c r="N205">
        <v>5972.1402042210302</v>
      </c>
      <c r="O205" s="2">
        <f t="shared" si="4"/>
        <v>1.6099393615405706</v>
      </c>
      <c r="P205">
        <v>14.3928578921727</v>
      </c>
      <c r="Q205">
        <v>5.9721402042210299</v>
      </c>
    </row>
    <row r="206" spans="1:17" x14ac:dyDescent="0.25">
      <c r="A206">
        <v>2</v>
      </c>
      <c r="B206" t="s">
        <v>215</v>
      </c>
      <c r="C206">
        <v>2.6533331643967402</v>
      </c>
      <c r="D206">
        <v>0.51573332150777196</v>
      </c>
      <c r="E206" t="s">
        <v>152</v>
      </c>
      <c r="F206" t="s">
        <v>23</v>
      </c>
      <c r="G206">
        <v>6</v>
      </c>
      <c r="H206" t="str">
        <f t="shared" si="5"/>
        <v>NI_6</v>
      </c>
      <c r="I206">
        <v>1</v>
      </c>
      <c r="J206" s="1">
        <v>6.0200000000000002E-3</v>
      </c>
      <c r="K206" s="1">
        <f t="shared" si="3"/>
        <v>6.0200000000000005</v>
      </c>
      <c r="L206">
        <v>2.64E-3</v>
      </c>
      <c r="M206">
        <v>2.64</v>
      </c>
      <c r="N206">
        <v>3140.7826283105301</v>
      </c>
      <c r="O206" s="2">
        <f t="shared" si="4"/>
        <v>1.3773531791926594</v>
      </c>
      <c r="P206">
        <v>8.2916661387398101</v>
      </c>
      <c r="Q206">
        <v>3.14078262831053</v>
      </c>
    </row>
    <row r="207" spans="1:17" x14ac:dyDescent="0.25">
      <c r="A207">
        <v>2</v>
      </c>
      <c r="B207" t="s">
        <v>216</v>
      </c>
      <c r="C207">
        <v>2.1947619915008501</v>
      </c>
      <c r="D207">
        <v>0.48363333940505998</v>
      </c>
      <c r="E207" t="s">
        <v>152</v>
      </c>
      <c r="F207" t="s">
        <v>23</v>
      </c>
      <c r="G207">
        <v>6</v>
      </c>
      <c r="H207" t="str">
        <f t="shared" si="5"/>
        <v>NI_6</v>
      </c>
      <c r="I207">
        <v>2</v>
      </c>
      <c r="J207" s="1">
        <v>4.3699999999999902E-3</v>
      </c>
      <c r="K207" s="1">
        <f t="shared" si="3"/>
        <v>4.3699999999999903</v>
      </c>
      <c r="L207">
        <v>1.73E-3</v>
      </c>
      <c r="M207">
        <v>1.73</v>
      </c>
      <c r="N207">
        <v>3964.5267187515401</v>
      </c>
      <c r="O207" s="2">
        <f t="shared" si="4"/>
        <v>1.5694808291625137</v>
      </c>
      <c r="P207">
        <v>6.8586312234401703</v>
      </c>
      <c r="Q207">
        <v>3.9645267187515398</v>
      </c>
    </row>
    <row r="208" spans="1:17" x14ac:dyDescent="0.25">
      <c r="A208">
        <v>2</v>
      </c>
      <c r="B208" t="s">
        <v>217</v>
      </c>
      <c r="C208">
        <v>2.8823807580130398</v>
      </c>
      <c r="D208">
        <v>0.53176665306091297</v>
      </c>
      <c r="E208" t="s">
        <v>152</v>
      </c>
      <c r="F208" t="s">
        <v>23</v>
      </c>
      <c r="G208">
        <v>6</v>
      </c>
      <c r="H208" t="str">
        <f t="shared" si="5"/>
        <v>NI_6</v>
      </c>
      <c r="I208">
        <v>3</v>
      </c>
      <c r="J208" s="1">
        <v>8.3700000000000007E-3</v>
      </c>
      <c r="K208" s="1">
        <f t="shared" si="3"/>
        <v>8.370000000000001</v>
      </c>
      <c r="L208">
        <v>3.0000000000000001E-3</v>
      </c>
      <c r="M208">
        <v>3</v>
      </c>
      <c r="N208">
        <v>3002.4799562635899</v>
      </c>
      <c r="O208" s="2">
        <f t="shared" si="4"/>
        <v>1.076157690417056</v>
      </c>
      <c r="P208">
        <v>9.00743986879076</v>
      </c>
      <c r="Q208">
        <v>3.0024799562635902</v>
      </c>
    </row>
    <row r="209" spans="1:17" x14ac:dyDescent="0.25">
      <c r="A209">
        <v>2</v>
      </c>
      <c r="B209" t="s">
        <v>218</v>
      </c>
      <c r="C209">
        <v>2.42761917341323</v>
      </c>
      <c r="D209">
        <v>0.49993334213892598</v>
      </c>
      <c r="E209" t="s">
        <v>152</v>
      </c>
      <c r="F209" t="s">
        <v>23</v>
      </c>
      <c r="G209">
        <v>7</v>
      </c>
      <c r="H209" t="str">
        <f t="shared" si="5"/>
        <v>NI_7</v>
      </c>
      <c r="I209">
        <v>2</v>
      </c>
      <c r="J209" s="1">
        <v>7.2700000000000004E-3</v>
      </c>
      <c r="K209" s="1">
        <f t="shared" si="3"/>
        <v>7.2700000000000005</v>
      </c>
      <c r="L209">
        <v>2.15E-3</v>
      </c>
      <c r="M209">
        <v>2.15</v>
      </c>
      <c r="N209">
        <v>3528.5162404262101</v>
      </c>
      <c r="O209" s="2">
        <f t="shared" si="4"/>
        <v>1.0435089294245323</v>
      </c>
      <c r="P209">
        <v>7.5863099169163499</v>
      </c>
      <c r="Q209">
        <v>3.5285162404262098</v>
      </c>
    </row>
    <row r="210" spans="1:17" x14ac:dyDescent="0.25">
      <c r="A210">
        <v>2</v>
      </c>
      <c r="B210" t="s">
        <v>219</v>
      </c>
      <c r="C210">
        <v>0.99619049685341898</v>
      </c>
      <c r="D210">
        <v>0.39973333477973899</v>
      </c>
      <c r="E210" t="s">
        <v>152</v>
      </c>
      <c r="F210" t="s">
        <v>23</v>
      </c>
      <c r="G210">
        <v>8</v>
      </c>
      <c r="H210" t="str">
        <f t="shared" si="5"/>
        <v>NI_8</v>
      </c>
      <c r="I210">
        <v>1</v>
      </c>
      <c r="J210" s="1">
        <v>5.3600000000000002E-3</v>
      </c>
      <c r="K210" s="1">
        <f t="shared" si="3"/>
        <v>5.36</v>
      </c>
      <c r="L210">
        <v>1.42E-3</v>
      </c>
      <c r="M210">
        <v>1.42</v>
      </c>
      <c r="N210">
        <v>2192.3206356809401</v>
      </c>
      <c r="O210" s="2">
        <f t="shared" si="4"/>
        <v>0.58080136243786185</v>
      </c>
      <c r="P210">
        <v>3.1130953026669399</v>
      </c>
      <c r="Q210">
        <v>2.1923206356809399</v>
      </c>
    </row>
    <row r="211" spans="1:17" x14ac:dyDescent="0.25">
      <c r="A211">
        <v>2</v>
      </c>
      <c r="B211" t="s">
        <v>220</v>
      </c>
      <c r="C211">
        <v>0.74809524558839302</v>
      </c>
      <c r="D211">
        <v>0.382366667191188</v>
      </c>
      <c r="E211" t="s">
        <v>152</v>
      </c>
      <c r="F211" t="s">
        <v>23</v>
      </c>
      <c r="G211">
        <v>8</v>
      </c>
      <c r="H211" t="str">
        <f t="shared" si="5"/>
        <v>NI_8</v>
      </c>
      <c r="I211">
        <v>2</v>
      </c>
      <c r="J211" s="1">
        <v>3.3700000000000002E-3</v>
      </c>
      <c r="K211" s="1">
        <f t="shared" si="3"/>
        <v>3.37</v>
      </c>
      <c r="L211">
        <v>8.4999999999999995E-4</v>
      </c>
      <c r="M211">
        <v>0.85</v>
      </c>
      <c r="N211">
        <v>2750.3501676043902</v>
      </c>
      <c r="O211" s="2">
        <f t="shared" si="4"/>
        <v>0.69370849924739753</v>
      </c>
      <c r="P211">
        <v>2.3377976424637299</v>
      </c>
      <c r="Q211">
        <v>2.75035016760439</v>
      </c>
    </row>
    <row r="212" spans="1:17" x14ac:dyDescent="0.25">
      <c r="A212">
        <v>2</v>
      </c>
      <c r="B212" t="s">
        <v>206</v>
      </c>
      <c r="C212">
        <v>6.6088891771104601</v>
      </c>
      <c r="D212">
        <v>0.56783334414164199</v>
      </c>
      <c r="E212" t="s">
        <v>152</v>
      </c>
      <c r="F212" t="s">
        <v>6</v>
      </c>
      <c r="G212">
        <v>6</v>
      </c>
      <c r="H212" t="str">
        <f t="shared" si="5"/>
        <v>Isolate_1-39_6</v>
      </c>
      <c r="I212">
        <v>2</v>
      </c>
      <c r="J212" s="1">
        <v>8.8199999999999893E-3</v>
      </c>
      <c r="K212" s="1">
        <f t="shared" si="3"/>
        <v>8.8199999999999896</v>
      </c>
      <c r="L212">
        <v>3.1800000000000001E-3</v>
      </c>
      <c r="M212">
        <v>3.18</v>
      </c>
      <c r="N212">
        <v>6494.5844900849597</v>
      </c>
      <c r="O212" s="2">
        <f t="shared" si="4"/>
        <v>2.3415848841802975</v>
      </c>
      <c r="P212">
        <v>20.652778678470199</v>
      </c>
      <c r="Q212">
        <v>6.4945844900849599</v>
      </c>
    </row>
    <row r="213" spans="1:17" x14ac:dyDescent="0.25">
      <c r="A213">
        <v>2</v>
      </c>
      <c r="B213" t="s">
        <v>221</v>
      </c>
      <c r="C213">
        <v>5.4888876279195101E-2</v>
      </c>
      <c r="D213">
        <v>0.32823333144187899</v>
      </c>
      <c r="E213" t="s">
        <v>152</v>
      </c>
      <c r="F213" t="s">
        <v>6</v>
      </c>
      <c r="G213">
        <v>7</v>
      </c>
      <c r="H213" t="str">
        <f t="shared" si="5"/>
        <v>Isolate_1-39_7</v>
      </c>
      <c r="I213">
        <v>3</v>
      </c>
      <c r="J213" s="1">
        <v>1.17E-3</v>
      </c>
      <c r="K213" s="1">
        <f t="shared" si="3"/>
        <v>1.17</v>
      </c>
      <c r="L213">
        <v>2.9E-4</v>
      </c>
      <c r="M213">
        <v>0.28999999999999998</v>
      </c>
      <c r="N213">
        <v>591.47495990512004</v>
      </c>
      <c r="O213" s="2">
        <f t="shared" si="4"/>
        <v>0.14660490459186754</v>
      </c>
      <c r="P213">
        <v>0.171527738372485</v>
      </c>
      <c r="Q213">
        <v>0.59147495990512</v>
      </c>
    </row>
    <row r="214" spans="1:17" x14ac:dyDescent="0.25">
      <c r="A214">
        <v>2</v>
      </c>
      <c r="B214" t="s">
        <v>222</v>
      </c>
      <c r="C214">
        <v>3.6608891063266298</v>
      </c>
      <c r="D214">
        <v>0.594566682974497</v>
      </c>
      <c r="E214" t="s">
        <v>152</v>
      </c>
      <c r="F214" t="s">
        <v>6</v>
      </c>
      <c r="G214">
        <v>8</v>
      </c>
      <c r="H214" t="str">
        <f t="shared" si="5"/>
        <v>Isolate_1-39_8</v>
      </c>
      <c r="I214">
        <v>2</v>
      </c>
      <c r="J214" s="1">
        <v>1.12999999999999E-2</v>
      </c>
      <c r="K214" s="1">
        <f t="shared" si="3"/>
        <v>11.299999999999901</v>
      </c>
      <c r="L214">
        <v>2.5000000000000001E-3</v>
      </c>
      <c r="M214">
        <v>2.5</v>
      </c>
      <c r="N214">
        <v>4576.1113829082897</v>
      </c>
      <c r="O214" s="2">
        <f t="shared" si="4"/>
        <v>1.0124140227673275</v>
      </c>
      <c r="P214">
        <v>11.440278457270701</v>
      </c>
      <c r="Q214">
        <v>4.57611138290829</v>
      </c>
    </row>
    <row r="215" spans="1:17" x14ac:dyDescent="0.25">
      <c r="A215">
        <v>2</v>
      </c>
      <c r="B215" t="s">
        <v>223</v>
      </c>
      <c r="C215">
        <v>7.1555559582180503</v>
      </c>
      <c r="D215">
        <v>0.58833334843317697</v>
      </c>
      <c r="E215" t="s">
        <v>152</v>
      </c>
      <c r="F215" t="s">
        <v>14</v>
      </c>
      <c r="G215">
        <v>1</v>
      </c>
      <c r="H215" t="str">
        <f t="shared" si="5"/>
        <v>Isolate_1-40_1</v>
      </c>
      <c r="I215">
        <v>2</v>
      </c>
      <c r="J215" s="1">
        <v>8.4100000000000008E-3</v>
      </c>
      <c r="K215" s="1">
        <f t="shared" si="3"/>
        <v>8.41</v>
      </c>
      <c r="L215">
        <v>2.7899999999999999E-3</v>
      </c>
      <c r="M215">
        <v>2.79</v>
      </c>
      <c r="N215">
        <v>8014.7356162836504</v>
      </c>
      <c r="O215" s="2">
        <f t="shared" si="4"/>
        <v>2.658871863190416</v>
      </c>
      <c r="P215">
        <v>22.3611123694314</v>
      </c>
      <c r="Q215">
        <v>8.0147356162836498</v>
      </c>
    </row>
    <row r="216" spans="1:17" x14ac:dyDescent="0.25">
      <c r="A216">
        <v>2</v>
      </c>
      <c r="B216" t="s">
        <v>224</v>
      </c>
      <c r="C216">
        <v>7.8595556894938197</v>
      </c>
      <c r="D216">
        <v>0.61473333835601796</v>
      </c>
      <c r="E216" t="s">
        <v>152</v>
      </c>
      <c r="F216" t="s">
        <v>14</v>
      </c>
      <c r="G216">
        <v>2</v>
      </c>
      <c r="H216" t="str">
        <f t="shared" si="5"/>
        <v>Isolate_1-40_2</v>
      </c>
      <c r="I216">
        <v>3</v>
      </c>
      <c r="J216" s="1">
        <v>1.304E-2</v>
      </c>
      <c r="K216" s="1">
        <f t="shared" si="3"/>
        <v>13.04</v>
      </c>
      <c r="L216">
        <v>4.4600000000000004E-3</v>
      </c>
      <c r="M216">
        <v>4.46</v>
      </c>
      <c r="N216">
        <v>5506.9756792977996</v>
      </c>
      <c r="O216" s="2">
        <f t="shared" si="4"/>
        <v>1.8835208228273159</v>
      </c>
      <c r="P216">
        <v>24.561111529668199</v>
      </c>
      <c r="Q216">
        <v>5.5069756792978</v>
      </c>
    </row>
    <row r="217" spans="1:17" x14ac:dyDescent="0.25">
      <c r="A217">
        <v>2</v>
      </c>
      <c r="B217" t="s">
        <v>225</v>
      </c>
      <c r="C217">
        <v>7.0844447029961497</v>
      </c>
      <c r="D217">
        <v>0.58566667636235603</v>
      </c>
      <c r="E217" t="s">
        <v>152</v>
      </c>
      <c r="F217" t="s">
        <v>14</v>
      </c>
      <c r="G217">
        <v>5</v>
      </c>
      <c r="H217" t="str">
        <f t="shared" si="5"/>
        <v>Isolate_1-40_5</v>
      </c>
      <c r="I217">
        <v>3</v>
      </c>
      <c r="J217" s="1">
        <v>1.005E-2</v>
      </c>
      <c r="K217" s="1">
        <f t="shared" si="3"/>
        <v>10.050000000000001</v>
      </c>
      <c r="L217">
        <v>3.6099999999999999E-3</v>
      </c>
      <c r="M217">
        <v>3.61</v>
      </c>
      <c r="N217">
        <v>6132.6564257238097</v>
      </c>
      <c r="O217" s="2">
        <f t="shared" si="4"/>
        <v>2.2028745967027858</v>
      </c>
      <c r="P217">
        <v>22.138889696863</v>
      </c>
      <c r="Q217">
        <v>6.1326564257238099</v>
      </c>
    </row>
    <row r="218" spans="1:17" x14ac:dyDescent="0.25">
      <c r="A218">
        <v>2</v>
      </c>
      <c r="B218" t="s">
        <v>226</v>
      </c>
      <c r="C218">
        <v>7.6728887769911003</v>
      </c>
      <c r="D218">
        <v>0.60773332913716605</v>
      </c>
      <c r="E218" t="s">
        <v>152</v>
      </c>
      <c r="F218" t="s">
        <v>14</v>
      </c>
      <c r="G218">
        <v>7</v>
      </c>
      <c r="H218" t="str">
        <f t="shared" si="5"/>
        <v>Isolate_1-40_7</v>
      </c>
      <c r="I218">
        <v>3</v>
      </c>
      <c r="J218" s="1">
        <v>1.0880000000000001E-2</v>
      </c>
      <c r="K218" s="1">
        <f t="shared" si="3"/>
        <v>10.88</v>
      </c>
      <c r="L218">
        <v>3.5599999999999998E-3</v>
      </c>
      <c r="M218">
        <v>3.56</v>
      </c>
      <c r="N218">
        <v>6735.3307382295498</v>
      </c>
      <c r="O218" s="2">
        <f t="shared" si="4"/>
        <v>2.2038398371412864</v>
      </c>
      <c r="P218">
        <v>23.977777428097198</v>
      </c>
      <c r="Q218">
        <v>6.7353307382295498</v>
      </c>
    </row>
    <row r="219" spans="1:17" x14ac:dyDescent="0.25">
      <c r="A219">
        <v>2</v>
      </c>
      <c r="B219" t="s">
        <v>227</v>
      </c>
      <c r="C219">
        <v>1.1231111526489299</v>
      </c>
      <c r="D219">
        <v>0.40423333644866899</v>
      </c>
      <c r="E219" t="s">
        <v>152</v>
      </c>
      <c r="F219" t="s">
        <v>14</v>
      </c>
      <c r="G219">
        <v>8</v>
      </c>
      <c r="H219" t="str">
        <f t="shared" si="5"/>
        <v>Isolate_1-40_8</v>
      </c>
      <c r="I219">
        <v>1</v>
      </c>
      <c r="J219" s="1">
        <v>4.1700000000000001E-3</v>
      </c>
      <c r="K219" s="1">
        <f t="shared" si="3"/>
        <v>4.17</v>
      </c>
      <c r="L219">
        <v>1E-3</v>
      </c>
      <c r="M219">
        <v>1</v>
      </c>
      <c r="N219">
        <v>3509.7223520278899</v>
      </c>
      <c r="O219" s="2">
        <f t="shared" si="4"/>
        <v>0.84166003645752763</v>
      </c>
      <c r="P219">
        <v>3.50972235202789</v>
      </c>
      <c r="Q219">
        <v>3.50972235202789</v>
      </c>
    </row>
    <row r="220" spans="1:17" x14ac:dyDescent="0.25">
      <c r="A220">
        <v>2</v>
      </c>
      <c r="B220" t="s">
        <v>228</v>
      </c>
      <c r="C220">
        <v>0.81066678365071598</v>
      </c>
      <c r="D220">
        <v>0.38080000877380399</v>
      </c>
      <c r="E220" t="s">
        <v>152</v>
      </c>
      <c r="F220" t="s">
        <v>14</v>
      </c>
      <c r="G220">
        <v>8</v>
      </c>
      <c r="H220" t="str">
        <f t="shared" si="5"/>
        <v>Isolate_1-40_8</v>
      </c>
      <c r="I220">
        <v>2</v>
      </c>
      <c r="J220" s="1">
        <v>3.13E-3</v>
      </c>
      <c r="K220" s="1">
        <f t="shared" si="3"/>
        <v>3.13</v>
      </c>
      <c r="L220">
        <v>8.7000000000000001E-4</v>
      </c>
      <c r="M220">
        <v>0.87</v>
      </c>
      <c r="N220">
        <v>2911.8778148373399</v>
      </c>
      <c r="O220" s="2">
        <f t="shared" si="4"/>
        <v>0.80937178878865501</v>
      </c>
      <c r="P220">
        <v>2.53333369890849</v>
      </c>
      <c r="Q220">
        <v>2.9118778148373399</v>
      </c>
    </row>
    <row r="221" spans="1:17" x14ac:dyDescent="0.25">
      <c r="A221">
        <v>2</v>
      </c>
      <c r="B221" t="s">
        <v>229</v>
      </c>
      <c r="C221">
        <v>3.39822229809231</v>
      </c>
      <c r="D221">
        <v>0.57486667235692301</v>
      </c>
      <c r="E221" t="s">
        <v>152</v>
      </c>
      <c r="F221" t="s">
        <v>14</v>
      </c>
      <c r="G221">
        <v>9</v>
      </c>
      <c r="H221" t="str">
        <f t="shared" si="5"/>
        <v>Isolate_1-40_9</v>
      </c>
      <c r="I221">
        <v>1</v>
      </c>
      <c r="J221" s="1">
        <v>6.0200000000000002E-3</v>
      </c>
      <c r="K221" s="1">
        <f t="shared" si="3"/>
        <v>6.0200000000000005</v>
      </c>
      <c r="L221">
        <v>1.9499999999999999E-3</v>
      </c>
      <c r="M221">
        <v>1.95</v>
      </c>
      <c r="N221">
        <v>5445.8690674556301</v>
      </c>
      <c r="O221" s="2">
        <f t="shared" si="4"/>
        <v>1.7640273557372923</v>
      </c>
      <c r="P221">
        <v>10.6194446815385</v>
      </c>
      <c r="Q221">
        <v>5.4458690674556296</v>
      </c>
    </row>
    <row r="222" spans="1:17" x14ac:dyDescent="0.25">
      <c r="A222">
        <v>2</v>
      </c>
      <c r="B222" t="s">
        <v>230</v>
      </c>
      <c r="C222">
        <v>2.7062221739027201</v>
      </c>
      <c r="D222">
        <v>0.52296666304270401</v>
      </c>
      <c r="E222" t="s">
        <v>152</v>
      </c>
      <c r="F222" t="s">
        <v>14</v>
      </c>
      <c r="G222">
        <v>9</v>
      </c>
      <c r="H222" t="str">
        <f t="shared" si="5"/>
        <v>Isolate_1-40_9</v>
      </c>
      <c r="I222">
        <v>2</v>
      </c>
      <c r="J222" s="1">
        <v>5.2100000000000002E-3</v>
      </c>
      <c r="K222" s="1">
        <f t="shared" si="3"/>
        <v>5.21</v>
      </c>
      <c r="L222">
        <v>1.5900000000000001E-3</v>
      </c>
      <c r="M222">
        <v>1.59</v>
      </c>
      <c r="N222">
        <v>5318.8328889597597</v>
      </c>
      <c r="O222" s="2">
        <f t="shared" si="4"/>
        <v>1.6232138759013457</v>
      </c>
      <c r="P222">
        <v>8.4569442934460106</v>
      </c>
      <c r="Q222">
        <v>5.3188328889597596</v>
      </c>
    </row>
    <row r="223" spans="1:17" x14ac:dyDescent="0.25">
      <c r="A223">
        <v>2</v>
      </c>
      <c r="B223" t="s">
        <v>231</v>
      </c>
      <c r="C223">
        <v>3.17066668404473</v>
      </c>
      <c r="D223">
        <v>0.49743333458900502</v>
      </c>
      <c r="E223" t="s">
        <v>152</v>
      </c>
      <c r="F223" t="s">
        <v>14</v>
      </c>
      <c r="G223">
        <v>9</v>
      </c>
      <c r="H223" t="str">
        <f t="shared" si="5"/>
        <v>Isolate_1-40_9</v>
      </c>
      <c r="I223">
        <v>3</v>
      </c>
      <c r="J223" s="1">
        <v>7.1799999999999902E-3</v>
      </c>
      <c r="K223" s="1">
        <f t="shared" si="3"/>
        <v>7.1799999999999899</v>
      </c>
      <c r="L223">
        <v>2.2200000000000002E-3</v>
      </c>
      <c r="M223">
        <v>2.2200000000000002</v>
      </c>
      <c r="N223">
        <v>4463.2132376755799</v>
      </c>
      <c r="O223" s="2">
        <f t="shared" si="4"/>
        <v>1.3799907225125074</v>
      </c>
      <c r="P223">
        <v>9.9083333876397894</v>
      </c>
      <c r="Q223">
        <v>4.4632132376755802</v>
      </c>
    </row>
    <row r="224" spans="1:17" x14ac:dyDescent="0.25">
      <c r="A224">
        <v>2</v>
      </c>
      <c r="B224" t="s">
        <v>232</v>
      </c>
      <c r="C224">
        <v>5.6875553290049199</v>
      </c>
      <c r="D224">
        <v>0.62421665589014697</v>
      </c>
      <c r="E224" t="s">
        <v>152</v>
      </c>
      <c r="F224" t="s">
        <v>14</v>
      </c>
      <c r="G224">
        <v>9</v>
      </c>
      <c r="H224" t="str">
        <f t="shared" si="5"/>
        <v>Isolate_1-40_9</v>
      </c>
      <c r="I224">
        <v>4</v>
      </c>
      <c r="J224" s="1">
        <v>1.29199999999999E-2</v>
      </c>
      <c r="K224" s="1">
        <f t="shared" ref="K224:K231" si="6">J224*1000</f>
        <v>12.9199999999999</v>
      </c>
      <c r="L224">
        <v>4.8799999999999998E-3</v>
      </c>
      <c r="M224">
        <v>4.88</v>
      </c>
      <c r="N224">
        <v>3642.1332793320498</v>
      </c>
      <c r="O224" s="2">
        <f t="shared" ref="O224:O231" si="7">P224/K224</f>
        <v>1.3756664398715586</v>
      </c>
      <c r="P224">
        <v>17.773610403140399</v>
      </c>
      <c r="Q224">
        <v>3.6421332793320502</v>
      </c>
    </row>
    <row r="225" spans="1:17" x14ac:dyDescent="0.25">
      <c r="A225">
        <v>2</v>
      </c>
      <c r="B225" t="s">
        <v>233</v>
      </c>
      <c r="C225">
        <v>7.6782224655151401</v>
      </c>
      <c r="D225">
        <v>0.60793334245681796</v>
      </c>
      <c r="E225" t="s">
        <v>152</v>
      </c>
      <c r="F225" t="s">
        <v>23</v>
      </c>
      <c r="G225">
        <v>1</v>
      </c>
      <c r="H225" t="str">
        <f t="shared" si="5"/>
        <v>NI_1</v>
      </c>
      <c r="I225">
        <v>2</v>
      </c>
      <c r="J225" s="1">
        <v>1.2829999999999901E-2</v>
      </c>
      <c r="K225" s="1">
        <f t="shared" si="6"/>
        <v>12.829999999999901</v>
      </c>
      <c r="L225">
        <v>3.65E-3</v>
      </c>
      <c r="M225">
        <v>3.65</v>
      </c>
      <c r="N225">
        <v>6573.8206040369296</v>
      </c>
      <c r="O225" s="2">
        <f t="shared" si="7"/>
        <v>1.8701827907042077</v>
      </c>
      <c r="P225">
        <v>23.994445204734799</v>
      </c>
      <c r="Q225">
        <v>6.5738206040369302</v>
      </c>
    </row>
    <row r="226" spans="1:17" x14ac:dyDescent="0.25">
      <c r="A226">
        <v>2</v>
      </c>
      <c r="B226" t="s">
        <v>234</v>
      </c>
      <c r="C226">
        <v>8.5893332375420499</v>
      </c>
      <c r="D226">
        <v>0.642099996407827</v>
      </c>
      <c r="E226" t="s">
        <v>152</v>
      </c>
      <c r="F226" t="s">
        <v>23</v>
      </c>
      <c r="G226">
        <v>2</v>
      </c>
      <c r="H226" t="str">
        <f t="shared" si="5"/>
        <v>NI_2</v>
      </c>
      <c r="I226">
        <v>3</v>
      </c>
      <c r="J226" s="1">
        <v>1.8329999999999898E-2</v>
      </c>
      <c r="K226" s="1">
        <f t="shared" si="6"/>
        <v>18.329999999999899</v>
      </c>
      <c r="L226">
        <v>6.2899999999999996E-3</v>
      </c>
      <c r="M226">
        <v>6.29</v>
      </c>
      <c r="N226">
        <v>4267.3555432939402</v>
      </c>
      <c r="O226" s="2">
        <f t="shared" si="7"/>
        <v>1.4643571395154964</v>
      </c>
      <c r="P226">
        <v>26.841666367318901</v>
      </c>
      <c r="Q226">
        <v>4.2673555432939398</v>
      </c>
    </row>
    <row r="227" spans="1:17" x14ac:dyDescent="0.25">
      <c r="A227">
        <v>2</v>
      </c>
      <c r="B227" t="s">
        <v>235</v>
      </c>
      <c r="C227">
        <v>7.20622202555339</v>
      </c>
      <c r="D227">
        <v>0.59023332595825195</v>
      </c>
      <c r="E227" t="s">
        <v>152</v>
      </c>
      <c r="F227" t="s">
        <v>23</v>
      </c>
      <c r="G227">
        <v>4</v>
      </c>
      <c r="H227" t="str">
        <f t="shared" si="5"/>
        <v>NI_4</v>
      </c>
      <c r="I227">
        <v>2</v>
      </c>
      <c r="J227" s="1">
        <v>1.22799999999999E-2</v>
      </c>
      <c r="K227" s="1">
        <f t="shared" si="6"/>
        <v>12.2799999999999</v>
      </c>
      <c r="L227">
        <v>3.2100000000000002E-3</v>
      </c>
      <c r="M227">
        <v>3.21</v>
      </c>
      <c r="N227">
        <v>7015.4030622599103</v>
      </c>
      <c r="O227" s="2">
        <f t="shared" si="7"/>
        <v>1.833830930769909</v>
      </c>
      <c r="P227">
        <v>22.5194438298543</v>
      </c>
      <c r="Q227">
        <v>7.0154030622599102</v>
      </c>
    </row>
    <row r="228" spans="1:17" x14ac:dyDescent="0.25">
      <c r="A228">
        <v>2</v>
      </c>
      <c r="B228" t="s">
        <v>236</v>
      </c>
      <c r="C228">
        <v>7.4782221264309401</v>
      </c>
      <c r="D228">
        <v>0.60043332974116004</v>
      </c>
      <c r="E228" t="s">
        <v>152</v>
      </c>
      <c r="F228" t="s">
        <v>23</v>
      </c>
      <c r="G228">
        <v>4</v>
      </c>
      <c r="H228" t="str">
        <f t="shared" si="5"/>
        <v>NI_4</v>
      </c>
      <c r="I228">
        <v>3</v>
      </c>
      <c r="J228" s="1">
        <v>1.4250000000000001E-2</v>
      </c>
      <c r="K228" s="1">
        <f t="shared" si="6"/>
        <v>14.25</v>
      </c>
      <c r="L228">
        <v>4.7099999999999998E-3</v>
      </c>
      <c r="M228">
        <v>4.71</v>
      </c>
      <c r="N228">
        <v>4961.6654235874003</v>
      </c>
      <c r="O228" s="2">
        <f t="shared" si="7"/>
        <v>1.6399609926383649</v>
      </c>
      <c r="P228">
        <v>23.369444145096701</v>
      </c>
      <c r="Q228">
        <v>4.9616654235873998</v>
      </c>
    </row>
    <row r="229" spans="1:17" x14ac:dyDescent="0.25">
      <c r="A229">
        <v>2</v>
      </c>
      <c r="B229" t="s">
        <v>237</v>
      </c>
      <c r="C229">
        <v>8.2071111679077209</v>
      </c>
      <c r="D229">
        <v>0.62776666879653897</v>
      </c>
      <c r="E229" t="s">
        <v>152</v>
      </c>
      <c r="F229" t="s">
        <v>23</v>
      </c>
      <c r="G229">
        <v>5</v>
      </c>
      <c r="H229" t="str">
        <f t="shared" si="5"/>
        <v>NI_5</v>
      </c>
      <c r="I229">
        <v>3</v>
      </c>
      <c r="J229" s="1">
        <v>1.6E-2</v>
      </c>
      <c r="K229" s="1">
        <f t="shared" si="6"/>
        <v>16</v>
      </c>
      <c r="L229">
        <v>5.2399999999999999E-3</v>
      </c>
      <c r="M229">
        <v>5.24</v>
      </c>
      <c r="N229">
        <v>4894.5080915480203</v>
      </c>
      <c r="O229" s="2">
        <f t="shared" si="7"/>
        <v>1.6029513999819749</v>
      </c>
      <c r="P229">
        <v>25.647222399711598</v>
      </c>
      <c r="Q229">
        <v>4.8945080915480199</v>
      </c>
    </row>
    <row r="230" spans="1:17" x14ac:dyDescent="0.25">
      <c r="A230">
        <v>2</v>
      </c>
      <c r="B230" t="s">
        <v>238</v>
      </c>
      <c r="C230">
        <v>0.112666704919603</v>
      </c>
      <c r="D230">
        <v>0.33690000573793999</v>
      </c>
      <c r="E230" t="s">
        <v>152</v>
      </c>
      <c r="F230" t="s">
        <v>23</v>
      </c>
      <c r="G230">
        <v>7</v>
      </c>
      <c r="H230" t="str">
        <f t="shared" si="5"/>
        <v>NI_7</v>
      </c>
      <c r="I230">
        <v>1</v>
      </c>
      <c r="J230" s="1">
        <v>7.5000000000000002E-4</v>
      </c>
      <c r="K230" s="1">
        <f t="shared" si="6"/>
        <v>0.75</v>
      </c>
      <c r="L230">
        <v>1.2E-4</v>
      </c>
      <c r="M230">
        <v>0.12</v>
      </c>
      <c r="N230">
        <v>2934.028773948</v>
      </c>
      <c r="O230" s="2">
        <f t="shared" si="7"/>
        <v>0.46944460383167996</v>
      </c>
      <c r="P230">
        <v>0.35208345287375997</v>
      </c>
      <c r="Q230">
        <v>2.934028773948</v>
      </c>
    </row>
    <row r="231" spans="1:17" x14ac:dyDescent="0.25">
      <c r="A231">
        <v>2</v>
      </c>
      <c r="B231" t="s">
        <v>239</v>
      </c>
      <c r="C231">
        <v>0.263111146291097</v>
      </c>
      <c r="D231">
        <v>0.35946667194366499</v>
      </c>
      <c r="E231" t="s">
        <v>152</v>
      </c>
      <c r="F231" t="s">
        <v>23</v>
      </c>
      <c r="G231">
        <v>7</v>
      </c>
      <c r="H231" t="str">
        <f t="shared" si="5"/>
        <v>NI_7</v>
      </c>
      <c r="I231">
        <v>3</v>
      </c>
      <c r="J231" s="1">
        <v>2.0200000000000001E-3</v>
      </c>
      <c r="K231" s="1">
        <f t="shared" si="6"/>
        <v>2.02</v>
      </c>
      <c r="L231">
        <v>5.8E-4</v>
      </c>
      <c r="M231">
        <v>0.57999999999999996</v>
      </c>
      <c r="N231">
        <v>1417.6247106201299</v>
      </c>
      <c r="O231" s="2">
        <f t="shared" si="7"/>
        <v>0.40704075849489008</v>
      </c>
      <c r="P231">
        <v>0.82222233215967799</v>
      </c>
      <c r="Q231">
        <v>1.4176247106201301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Analyses_P_Tourbe_2_220724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</dc:creator>
  <cp:lastModifiedBy>Pauline</cp:lastModifiedBy>
  <dcterms:created xsi:type="dcterms:W3CDTF">2024-07-22T06:27:06Z</dcterms:created>
  <dcterms:modified xsi:type="dcterms:W3CDTF">2024-08-22T14:11:53Z</dcterms:modified>
</cp:coreProperties>
</file>